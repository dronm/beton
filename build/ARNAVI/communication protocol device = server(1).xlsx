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3"/>
    <sheet state="visible" name="Header" sheetId="2" r:id="rId4"/>
    <sheet state="visible" name="Package" sheetId="3" r:id="rId5"/>
    <sheet state="visible" name="Packet" sheetId="4" r:id="rId6"/>
    <sheet state="visible" name="Server_com" sheetId="5" r:id="rId7"/>
    <sheet state="visible" name="SMS_COM" sheetId="6" r:id="rId8"/>
    <sheet state="visible" name="Tags" sheetId="7" r:id="rId9"/>
    <sheet state="hidden" name="Описание версий ПО_А4" sheetId="8" r:id="rId10"/>
    <sheet state="hidden" name="Sat" sheetId="9" r:id="rId11"/>
    <sheet state="hidden" name="Описание версий ПО" sheetId="10" r:id="rId12"/>
    <sheet state="hidden" name="Описание версий ПО_А5" sheetId="11" r:id="rId13"/>
    <sheet state="hidden" name="Совместимость С ПО" sheetId="12" r:id="rId14"/>
    <sheet state="hidden" name="Калькулятор пакета" sheetId="13" r:id="rId15"/>
    <sheet state="visible" name="Examples" sheetId="14" r:id="rId16"/>
    <sheet state="hidden" name="SMS MAP" sheetId="15" r:id="rId17"/>
  </sheets>
  <definedNames/>
  <calcPr/>
</workbook>
</file>

<file path=xl/sharedStrings.xml><?xml version="1.0" encoding="utf-8"?>
<sst xmlns="http://schemas.openxmlformats.org/spreadsheetml/2006/main" count="2328" uniqueCount="1494">
  <si>
    <t xml:space="preserve"> </t>
  </si>
  <si>
    <t>Bi-directional communication protocol: device -&gt; server, server -&gt; device.</t>
  </si>
  <si>
    <t>Each parcel (PACKAGE) from the device requires confirmation from the server (SERVER_COM)</t>
  </si>
  <si>
    <t>If there is no confirmation from the server, the device will duplicate packet until confirmation.</t>
  </si>
  <si>
    <t>Data transmission to the server is in continuous TCP session (GPRS).</t>
  </si>
  <si>
    <t>Data are transmitted in binary form, byte order little-endian.</t>
  </si>
  <si>
    <t>The structure and procedure packs</t>
  </si>
  <si>
    <t>ORDER OF TRANSMISSION</t>
  </si>
  <si>
    <t>DEVICE &gt;&gt;</t>
  </si>
  <si>
    <t>&lt;&lt; SERVER</t>
  </si>
  <si>
    <t>first connection with the server
transmitted HEADER - in response to confirmation HEADER
further
PACKAGE + SERVER_COM (confirmation)</t>
  </si>
  <si>
    <t>HEADER</t>
  </si>
  <si>
    <t>SERVER_COM</t>
  </si>
  <si>
    <t>PACKAGE</t>
  </si>
  <si>
    <t>PACKET_0</t>
  </si>
  <si>
    <t>......</t>
  </si>
  <si>
    <t>PACKET_N</t>
  </si>
  <si>
    <t>subsequent packets
PACKAGE + SERVER_COM (confirmation)</t>
  </si>
  <si>
    <t>.....</t>
  </si>
  <si>
    <t>asynchronous command
Only a command (between packages PACKAGE)</t>
  </si>
  <si>
    <t>HEADER - the structure of the title and description</t>
  </si>
  <si>
    <t>order in byte</t>
  </si>
  <si>
    <t>0</t>
  </si>
  <si>
    <t>1</t>
  </si>
  <si>
    <t>2</t>
  </si>
  <si>
    <t>3</t>
  </si>
  <si>
    <t>4</t>
  </si>
  <si>
    <t>5</t>
  </si>
  <si>
    <t>6</t>
  </si>
  <si>
    <t>7</t>
  </si>
  <si>
    <t>8</t>
  </si>
  <si>
    <t>9</t>
  </si>
  <si>
    <t>10</t>
  </si>
  <si>
    <t>11</t>
  </si>
  <si>
    <t>12</t>
  </si>
  <si>
    <t>13</t>
  </si>
  <si>
    <t>14</t>
  </si>
  <si>
    <t>15</t>
  </si>
  <si>
    <t>16</t>
  </si>
  <si>
    <t>17</t>
  </si>
  <si>
    <t>Size bytes</t>
  </si>
  <si>
    <t>example</t>
  </si>
  <si>
    <t>FF</t>
  </si>
  <si>
    <t>22</t>
  </si>
  <si>
    <t>F3</t>
  </si>
  <si>
    <t>0C</t>
  </si>
  <si>
    <t>F5</t>
  </si>
  <si>
    <t>C9</t>
  </si>
  <si>
    <t>0F</t>
  </si>
  <si>
    <t>03</t>
  </si>
  <si>
    <t>00</t>
  </si>
  <si>
    <t>10-18</t>
  </si>
  <si>
    <t>Description fields</t>
  </si>
  <si>
    <t>идентификатор HEADER</t>
  </si>
  <si>
    <t>версия протокола (0x22 - HEADER1 - Arnavi5 don't support,
                                0x23 (GPRS) or 0x25 (WIFI) - HEADER2
                                0x24 - HEADER3 EXT ID</t>
  </si>
  <si>
    <t>уникальный ID или IMEI модема (0x00030FC9F5450CF3 =  861785007918323)</t>
  </si>
  <si>
    <t>дополнительный идентификатор WIFI устройства, только для Header3</t>
  </si>
  <si>
    <t>description of work</t>
  </si>
  <si>
    <t>transmitted once at each new initialization (connection) with the server, in response, the server should transmit an acknowledgment (cm. SERVER_COM)</t>
  </si>
  <si>
    <t>PACKAGE - structure and description of the packages on the device</t>
  </si>
  <si>
    <t>N</t>
  </si>
  <si>
    <t>2+N</t>
  </si>
  <si>
    <t>5B</t>
  </si>
  <si>
    <t>01</t>
  </si>
  <si>
    <t>01010101010101010101011</t>
  </si>
  <si>
    <t>5D</t>
  </si>
  <si>
    <t>3 + N</t>
  </si>
  <si>
    <t>start sign PACKAGE</t>
  </si>
  <si>
    <t>parcel number from 0x01 to 0xFB</t>
  </si>
  <si>
    <t>PACKET (one or more)</t>
  </si>
  <si>
    <t>end sign PACKAGE</t>
  </si>
  <si>
    <t>PACKET wrapper for transmission (1 or more).
PACKAGE from 0x01 to 0xFB requires confirmation from the server (see. SERVER_COM)</t>
  </si>
  <si>
    <t>FD</t>
  </si>
  <si>
    <t>number is 0xFD</t>
  </si>
  <si>
    <t>Answer code: 0x00 - OK, !0x00 - ERROR</t>
  </si>
  <si>
    <t>PACKAGE 0xFD  is an answer to server command type 0xFD (file transfer from server to device)</t>
  </si>
  <si>
    <t>PACKET - the structure and description of the packages on the device</t>
  </si>
  <si>
    <t>N=20</t>
  </si>
  <si>
    <t>7+N</t>
  </si>
  <si>
    <t>E3</t>
  </si>
  <si>
    <t>F1</t>
  </si>
  <si>
    <t>6B</t>
  </si>
  <si>
    <t>50</t>
  </si>
  <si>
    <t>03298B5E4204CBD514420500191000080400FF02</t>
  </si>
  <si>
    <t>1B</t>
  </si>
  <si>
    <t>8 + N</t>
  </si>
  <si>
    <t>type of content (0x01-DATA)</t>
  </si>
  <si>
    <t>packet data length (length DATA)</t>
  </si>
  <si>
    <t>unixtime 0x506BF1E3= 1349251555(unix time) = Wed, 03 Oct 2012 08:05:55 GMT</t>
  </si>
  <si>
    <t>TAGs (DATA)</t>
  </si>
  <si>
    <t>0x1B - checksum is calculated for all fields except the type and length of the packet.</t>
  </si>
  <si>
    <t>PACKET DATA is a set of tags (Tags) (one or more) having the same time</t>
  </si>
  <si>
    <t>N=4</t>
  </si>
  <si>
    <t>text</t>
  </si>
  <si>
    <t>C8</t>
  </si>
  <si>
    <t>type of content (0x03 - TEXT)</t>
  </si>
  <si>
    <t>packet data length (length TEXT)</t>
  </si>
  <si>
    <t>TEXT</t>
  </si>
  <si>
    <t>0xC8 - checksum it is sum of all bytes except the fields of type and length of the packet</t>
  </si>
  <si>
    <t>PACKET TEXT is a text message, like answer to text command (message to driver)</t>
  </si>
  <si>
    <t>04</t>
  </si>
  <si>
    <t>02</t>
  </si>
  <si>
    <t>34FA76EBB2AB434BABACE9015 ... .4034</t>
  </si>
  <si>
    <t>12 + N</t>
  </si>
  <si>
    <t>type of content (0x04 - FILE)</t>
  </si>
  <si>
    <t>The offset from the beginning of the file</t>
  </si>
  <si>
    <t>FILE DATA</t>
  </si>
  <si>
    <t>If the offset = 0xFFFFFFFF, then the field FILE DATA contains the attributes of the file size, name and extension (type). Transfer of each new file starts at offset 0xFFFFFFFF</t>
  </si>
  <si>
    <t>If the offset! = 0xFFFFFFFF, the FILE DATA field contains data to be written to the file at offset obtained in this variable</t>
  </si>
  <si>
    <t>All packages FILE, belonging to the same file have the same time of the formation (unixtime)</t>
  </si>
  <si>
    <t>FILE DATA field structure of the transmission attributes of a file:</t>
  </si>
  <si>
    <t>t</t>
  </si>
  <si>
    <t>is</t>
  </si>
  <si>
    <t>s</t>
  </si>
  <si>
    <t>d</t>
  </si>
  <si>
    <t>7A</t>
  </si>
  <si>
    <t>74</t>
  </si>
  <si>
    <t>65</t>
  </si>
  <si>
    <t>73</t>
  </si>
  <si>
    <t>64</t>
  </si>
  <si>
    <t>Size of file in bytes</t>
  </si>
  <si>
    <t>The length of the file name</t>
  </si>
  <si>
    <t>The file name to ASCII</t>
  </si>
  <si>
    <t>The length of the file extension</t>
  </si>
  <si>
    <t>The file extension to ASCII</t>
  </si>
  <si>
    <t>N=32</t>
  </si>
  <si>
    <t>06</t>
  </si>
  <si>
    <t>20</t>
  </si>
  <si>
    <t>type of content (0x06 - DATA_BINARY)</t>
  </si>
  <si>
    <t>DATA_BINARY</t>
  </si>
  <si>
    <t>PACKET DATA_BINARY is a binary data to be transmitted to server</t>
  </si>
  <si>
    <t>08</t>
  </si>
  <si>
    <t>type of content (0x08 - CONFIRM_THE_COMMAND)</t>
  </si>
  <si>
    <t>error code: 0 - no error</t>
  </si>
  <si>
    <t>confirmed command</t>
  </si>
  <si>
    <t>CONFIRM_THE_COMMAND2 is used to inform server the command is received by device</t>
  </si>
  <si>
    <t xml:space="preserve"> 8          9         10          11</t>
  </si>
  <si>
    <t>09</t>
  </si>
  <si>
    <t>05</t>
  </si>
  <si>
    <t>11         22        33          44</t>
  </si>
  <si>
    <t>type of content (0x09 - CONFIRM_THE_COMMAND BY TOKEN)</t>
  </si>
  <si>
    <t>error code:
0 - no error
1 - unknown command
2 - too few arguments
3 - too many arguments
4 - invalid argument value
5 - command execution error
6 - command accepted but need time to execute (ACK)
7 - command queue overflow
8 - slave device not available
9 - slave device not responded after all trys</t>
  </si>
  <si>
    <t>0x44332211 - token of confirmed command</t>
  </si>
  <si>
    <t>CONFIRM_THE_COMMAND is used to inform server the command is received by device</t>
  </si>
  <si>
    <t>SERVICE TEXT</t>
  </si>
  <si>
    <t>14 + N</t>
  </si>
  <si>
    <t>type of content (0x13 - SERVICE TEXT)</t>
  </si>
  <si>
    <t>ID session
время первой посылки</t>
  </si>
  <si>
    <t>Номер посылки</t>
  </si>
  <si>
    <t>SERVICE TEXT  - отладочная информация для передачи на WEB</t>
  </si>
  <si>
    <t>SERVER_COM - structure and description of the commands from the server</t>
  </si>
  <si>
    <t>4 + N</t>
  </si>
  <si>
    <t>7B</t>
  </si>
  <si>
    <t>C7</t>
  </si>
  <si>
    <t>7D</t>
  </si>
  <si>
    <t>5 + N</t>
  </si>
  <si>
    <t>start of the answer / command</t>
  </si>
  <si>
    <t>Number of bytes (N) to answer (the size of the field "command data")</t>
  </si>
  <si>
    <t>parcel number (0x00 - HEADER, 0x01-0xFB - PACKAGE)</t>
  </si>
  <si>
    <t>CS - checksum it is sum of all bytes the field of command</t>
  </si>
  <si>
    <t>These commands</t>
  </si>
  <si>
    <t>end response / command</t>
  </si>
  <si>
    <t>Answers / commands from the server to the device may be either synchronous, ie sent as a response when making PACKAGE from the device, because and asynchronous commands, ie sent at any time as long as there TCP session</t>
  </si>
  <si>
    <t>server responses</t>
  </si>
  <si>
    <t>confirmation HEADER1, 3 (7B 00 00 7D)</t>
  </si>
  <si>
    <t>CS</t>
  </si>
  <si>
    <t>UNIXTIME</t>
  </si>
  <si>
    <t>confirmation HEADER2, 3 (7B 04 00 A0 DE 95 DB 52 7D) 0x52DB95DE = Sun, 19 Jan 2014 09:07:42 GMT</t>
  </si>
  <si>
    <t>7B 04 00 CA 5E 9F 6F 5E 7D</t>
  </si>
  <si>
    <t>01-FB, FE</t>
  </si>
  <si>
    <t>confirmation PACKAGE (0xFE - if the package has not been tested)</t>
  </si>
  <si>
    <t>N! = 0 is a confirmation PACKAGE (0xFE - if the package has not been tested) + command</t>
  </si>
  <si>
    <t>N! = 0 is the asynchronous command</t>
  </si>
  <si>
    <t>FC</t>
  </si>
  <si>
    <t>transmission of text information (0xFC - indicates that there is text), the text is transmitted encoded WIN-1251</t>
  </si>
  <si>
    <t>OFFSET</t>
  </si>
  <si>
    <t>file data</t>
  </si>
  <si>
    <t>If the offset == 0xFFFFFFFF, then the field FILE DATA contains the attributes of the file size, name and extension (type). Transfer of each new file starts at offset 0xFFFFFFFF</t>
  </si>
  <si>
    <t>If the offset != 0xFFFFFFFF, the FILE DATA field contains data to be written to the file at offset obtained in this variable</t>
  </si>
  <si>
    <t>The file name in ASCII</t>
  </si>
  <si>
    <t>The file extension in ASCII</t>
  </si>
  <si>
    <t>Sample command:</t>
  </si>
  <si>
    <t>switch diagnostic mode</t>
  </si>
  <si>
    <t>without confirmation</t>
  </si>
  <si>
    <t>transmit a packet with coordinates</t>
  </si>
  <si>
    <t>update the version of the software (even if forced update version of the same)</t>
  </si>
  <si>
    <t>update the version of the software (provided that the designated version differs from current)</t>
  </si>
  <si>
    <t>update the version of the software from the external memory deletion (provided that the designated version differs from current)</t>
  </si>
  <si>
    <t>07</t>
  </si>
  <si>
    <t>reset devices</t>
  </si>
  <si>
    <t>download settings from web-configurator</t>
  </si>
  <si>
    <t>send settings to web-configurator (sync)</t>
  </si>
  <si>
    <t>X</t>
  </si>
  <si>
    <t>Y</t>
  </si>
  <si>
    <t>X-output number mb.: X = 0 II 1 || 2, Y-output state, mb.: Y = 0 II 1 (0 - off, 1 - on)</t>
  </si>
  <si>
    <t>confirmation in a plain package, which has TAG_9</t>
  </si>
  <si>
    <t>U0 / OUT_0: X = 0 II 1, 0 - disable 1 - enable (brown)</t>
  </si>
  <si>
    <t>0A</t>
  </si>
  <si>
    <t>U1 / OUT_1: X = 0 II 1, 0 - disable 1 - enable (yellow)</t>
  </si>
  <si>
    <t>0B</t>
  </si>
  <si>
    <t>U2 / OUT_2: X = 0 II 1, 0 - disable 1 - enable (blue wire)</t>
  </si>
  <si>
    <t>confirmation TAG_50</t>
  </si>
  <si>
    <t>0D</t>
  </si>
  <si>
    <t>mb .: X = 0 II 1 (0 - off, 1 - on)</t>
  </si>
  <si>
    <t>18</t>
  </si>
  <si>
    <t>Z</t>
  </si>
  <si>
    <t>X-output number mb.: X = 0 II 1 || 2, Y-number of minutes Y = 0..255, Z-number of seconds Z = 0..59, ie activity time yield = 60 * Y + Z seconds (max = 15359 seconds or 4 hours and about 16 m.</t>
  </si>
  <si>
    <t>Request-file ddd, X = 0 || 1: 0 in the card slot of the driver, one card slot mate</t>
  </si>
  <si>
    <t>21</t>
  </si>
  <si>
    <t>Take a photo X = 1..4 - the number of shots, Y = 0..2 - Resolution: 0-160x120, 1-320x240, 2-640x480</t>
  </si>
  <si>
    <t>30</t>
  </si>
  <si>
    <t>Command to be translated to idatalink. X - command code (look for idatalink protocol)</t>
  </si>
  <si>
    <t>31</t>
  </si>
  <si>
    <t xml:space="preserve">X
</t>
  </si>
  <si>
    <t>Command to Webasto. X - command, YZ - args</t>
  </si>
  <si>
    <t>32</t>
  </si>
  <si>
    <t>Command to be translated to Tula's autostart system. X - command code (look for Tula protocol)</t>
  </si>
  <si>
    <t>33</t>
  </si>
  <si>
    <t>Command to scooter board</t>
  </si>
  <si>
    <t>AA</t>
  </si>
  <si>
    <t>BB</t>
  </si>
  <si>
    <t>CC</t>
  </si>
  <si>
    <t>DD</t>
  </si>
  <si>
    <t>$$$</t>
  </si>
  <si>
    <t>Send the command with token to be confirmed by device. 0xDDCCBBAA - token; $$$ - command. Confirm will be sent at packet 9</t>
  </si>
  <si>
    <t>Description of SMS commands</t>
  </si>
  <si>
    <t>Password</t>
  </si>
  <si>
    <t>Command</t>
  </si>
  <si>
    <t>Content</t>
  </si>
  <si>
    <t>Example</t>
  </si>
  <si>
    <t>Comments</t>
  </si>
  <si>
    <t>Device</t>
  </si>
  <si>
    <t>Receive SMS information</t>
  </si>
  <si>
    <t>xxxxxx</t>
  </si>
  <si>
    <t>*</t>
  </si>
  <si>
    <t>SMSI</t>
  </si>
  <si>
    <t>yyyyyyyyyyyy</t>
  </si>
  <si>
    <t>123456*SMSI*+79169169161
123456*SMSI</t>
  </si>
  <si>
    <t>xxxxxx - password, yyyyyyyyyyyy - phone number in international format, which will be sent an answer (+79169169169)
xxxxxx - password, response will be sent to your phone</t>
  </si>
  <si>
    <t>Integral 3, Arnavi 5</t>
  </si>
  <si>
    <t>Receive sms with the coordinates and map</t>
  </si>
  <si>
    <t>SMSK</t>
  </si>
  <si>
    <t>123456*SMSK*+79169169161
123456*SMSK</t>
  </si>
  <si>
    <t>Receive an SMS with the number of the sensor 1-wire</t>
  </si>
  <si>
    <t>SMSW</t>
  </si>
  <si>
    <t>123456*SMSW*+79169169161
123456*SMSW</t>
  </si>
  <si>
    <t>Integral 3</t>
  </si>
  <si>
    <t>Activate / deactivate outputs</t>
  </si>
  <si>
    <t>OUTS</t>
  </si>
  <si>
    <t>y.z or z</t>
  </si>
  <si>
    <t>123456*OUTS*1.1
123456*OUTS*1</t>
  </si>
  <si>
    <t>xxxxxx - password, y - output number (0,1,2), z -state (0-disable, 1 enable)
xxxxxx - password, z -state (0-disable, 1 enable) - if the device has only 1 output</t>
  </si>
  <si>
    <t>Integral3</t>
  </si>
  <si>
    <t>Activate / deactivate protection</t>
  </si>
  <si>
    <t>OXPM</t>
  </si>
  <si>
    <t>from</t>
  </si>
  <si>
    <t>OXPM * 123456 * 1</t>
  </si>
  <si>
    <t>xxxxxx - password, z (0 - disabled, 1 - enabled)</t>
  </si>
  <si>
    <t>SERV</t>
  </si>
  <si>
    <t>8.y.z</t>
  </si>
  <si>
    <t>123456*SERV*8.1.1</t>
  </si>
  <si>
    <t>xxxxxx - password, y - output number (0,1,2,3), z -state (0-disable, 1 enable)</t>
  </si>
  <si>
    <t>Arnavi 5</t>
  </si>
  <si>
    <t>Upload data from tachograph "Shtrih" to server</t>
  </si>
  <si>
    <t>y.y</t>
  </si>
  <si>
    <t>123456*SERV*20.0</t>
  </si>
  <si>
    <t>Upload data from tachograph "Shtrih" to server using second SIM</t>
  </si>
  <si>
    <t>123456*SERV*20.1</t>
  </si>
  <si>
    <t>Send package to the server immediately</t>
  </si>
  <si>
    <t>123456*SERV*1.1</t>
  </si>
  <si>
    <t>Service command - send settings to web-configurator (sync)</t>
  </si>
  <si>
    <t>123456*SERV*1.9</t>
  </si>
  <si>
    <t>Service command - to upgrade software</t>
  </si>
  <si>
    <t>123456*SERV*1.5</t>
  </si>
  <si>
    <t>Service command - restart device</t>
  </si>
  <si>
    <t>123456*SERV*1.7</t>
  </si>
  <si>
    <t>Service command - download settings from web-configurator</t>
  </si>
  <si>
    <t>123456*SERV*1.8</t>
  </si>
  <si>
    <t>Receive SMS with the settings of the device</t>
  </si>
  <si>
    <t>GETP</t>
  </si>
  <si>
    <t>123456*GETP*+79169169161
123456*GETP</t>
  </si>
  <si>
    <t>Set the parameters of the device</t>
  </si>
  <si>
    <t>SETP</t>
  </si>
  <si>
    <t>&lt;settilngs list&gt;</t>
  </si>
  <si>
    <t>123456*SETP*#1=193.193.165.165,20897#3=654321</t>
  </si>
  <si>
    <t>xxxxxx - password, &lt;settilngs list&gt; - list of the parameters to be changed (#1 - new server address, #3 - new device password) List of supported parameters is available in device user manual</t>
  </si>
  <si>
    <t xml:space="preserve">123456*SERV*1.2   - повторный запрос ICCID параметров симкарт </t>
  </si>
  <si>
    <t>Note:</t>
  </si>
  <si>
    <t>1. The default password 123456</t>
  </si>
  <si>
    <t>2. The content of the letter commands and can be both uppercase and lowercase.</t>
  </si>
  <si>
    <t>3. The command arguments are separated by ";" (semicolon)</t>
  </si>
  <si>
    <t>TAG - structure and description of the packages on the device</t>
  </si>
  <si>
    <t>variable number</t>
  </si>
  <si>
    <t>variable</t>
  </si>
  <si>
    <t>Each TAG has a fixed size of 5 bytes, of which the first byte indicates the number of variable (a total of 256 variables), the remaining 4 bytes - this variable (see. Table. 1).
variable structure may be different, and the description of the method of packing is given for each variable</t>
  </si>
  <si>
    <t>Table 1. Description 4-byte variable (packets marked yellow, temporarily not working)</t>
  </si>
  <si>
    <t>Tag number</t>
  </si>
  <si>
    <t>Title</t>
  </si>
  <si>
    <t>Description</t>
  </si>
  <si>
    <t>Example
(N VALUE)</t>
  </si>
  <si>
    <t>reserve</t>
  </si>
  <si>
    <t>External voltage in mV
Internal voltage (battery) in mV</t>
  </si>
  <si>
    <t>the   2 bytes = external voltage 0x3054 = 12372 mV  or second example   0x6B67 =27495 mV
next 2 bytes = internal  voltage 0x106E = 4206 mV   or second example    0x0F80 = 3968 mV</t>
  </si>
  <si>
    <t>01 6E 10 54 30
01 80 0F 67 6B  (second example)</t>
  </si>
  <si>
    <t>ID key</t>
  </si>
  <si>
    <t>key i-Button (for example key number 0xAB563412)</t>
  </si>
  <si>
    <t>02 12 34 56 AB</t>
  </si>
  <si>
    <t>Latitude (latitude)</t>
  </si>
  <si>
    <t>0x425E8B82 = 55,636238 latitude in IEEE 754 format
(the floor. If the number N North, Neg. number, if S South)
If coordinate is not valid - do not send them</t>
  </si>
  <si>
    <t>03 82 8B 5E 42</t>
  </si>
  <si>
    <t>Longitude (longitude)</t>
  </si>
  <si>
    <t>0x42167875 = 37,617633 longitude in IEEE 754 format
(the floor If the number of E East, Neg. number, if W West)
If coordinate is not valid - do not send them</t>
  </si>
  <si>
    <t>04 75 78 16 42</t>
  </si>
  <si>
    <t>speed (high byte)
satellites
height
course (least significant byte)</t>
  </si>
  <si>
    <t>0x08 = 8 * 1.852 = 14.81 km / h above the speed in knots
0xE7 = 0-3 bits - the number of GPS (0-15) 7 (0x07) satellites 4-7 bits - the number of Glonass (0-15) 14 (0x0E) satellites, the total number of satellites 21
0x19 = 25 * 10 = 250 m altitude in meters / 10
0x11 = 17 * 2 = rate multiplied by 2</t>
  </si>
  <si>
    <t>05 11 19 E7 08</t>
  </si>
  <si>
    <t>PINx - number of digital input, its mode value ( ИМЯ ПЕРЕД ЗНАЧЕНИЕМ В ОТОБРАЖЕНИИ СОГЛАСНО РЕЖИМУ ВХОДА!)</t>
  </si>
  <si>
    <t>Байт[0] - режим входа:
0x06 - импульсы 
0x07 - частота        [Гц]
0x08 - аналоговый [мВ]
0x01 - дискретное состояние входов/выходов ( побитово )
Байт[1] - номер входа
Байт[2..3] - значение согласно режиму
Внимание. Для режима 0x01:
номер входа не имеет значения, в этом байте передается значение виртуальных бинарных датчиков:
бит 0 - виртуальное зажигание
бит 1 - кнопка вызова
бит 2..7 - резерв
В байтах 2-3 значение внутренних входов выходов (in1 - in16 в Wialon)
Если это возможно и НЕ ПОВРЕДИТ побитовой обработке значения при создании виртуальных датчиков в системе Wialon, то отображение значений в режиме входа 0x01 для удобства лучше сделать в hex формате ( Например, PIN=0x0304)
Для остальных режимов значение в десятичном представлении в виде целого.</t>
  </si>
  <si>
    <t>06 06 01 12 01  =&gt;   IMPS_1=274  [IMPS_x]
06 07 02 12 11  =&gt;   FREQ_2=4370 [FREQ_x]
06 08 03 55 21  =&gt;   VOLT_3=8533  [VOLT_x]
06 01 00 12 11  =&gt;   PIN=0x1112.  [PIN]</t>
  </si>
  <si>
    <t>SIM CARD 1
LAC
CID</t>
  </si>
  <si>
    <t>Local Area Code -  (first 2 B) 0xFF01
Cell ID - (next. 2 B) 0x1417</t>
  </si>
  <si>
    <t>07 17 14 01 FF</t>
  </si>
  <si>
    <t>SIM CARD 1
Signal level GSM (old. Byte)
MCC (2 bytes)
MNC (low byte)</t>
  </si>
  <si>
    <t>level signal from 0 to 31, 0x14 = 20
Mobile Country Code - code of the country in which the BS
(Russia it is 250, Ukraine - 255, Belarus - 257) 0x00FA = 250
Mobile Network Code - code for your network 0x01 = 1
(MTS - 01, MegaFon - 02, SMARTS - 07, Beeline - 99)</t>
  </si>
  <si>
    <t>08 01 FA 00 14</t>
  </si>
  <si>
    <t>Device status (DS)</t>
  </si>
  <si>
    <t>see Table. 2</t>
  </si>
  <si>
    <t>09 0C F0 84 63</t>
  </si>
  <si>
    <t>IMPS_0</t>
  </si>
  <si>
    <t>Number of pulses per IN_0</t>
  </si>
  <si>
    <t>IMPS_1</t>
  </si>
  <si>
    <t>Number of pulses per IN_1</t>
  </si>
  <si>
    <t>IMPS_2</t>
  </si>
  <si>
    <t>Number of pulses per IN_2</t>
  </si>
  <si>
    <t>IMPS_3</t>
  </si>
  <si>
    <t>Number of pulses per IN_3</t>
  </si>
  <si>
    <t>IMPS_4</t>
  </si>
  <si>
    <t>Number of pulses per IN_4</t>
  </si>
  <si>
    <t>IMPS_5</t>
  </si>
  <si>
    <t>Number of pulses per IN_5</t>
  </si>
  <si>
    <t>IMPS_6</t>
  </si>
  <si>
    <t>Number of pulses per IN_6</t>
  </si>
  <si>
    <t>IMPS_7</t>
  </si>
  <si>
    <t>Number of pulses per IN_7</t>
  </si>
  <si>
    <t>FREQ_0</t>
  </si>
  <si>
    <t>Frequency on IN_0</t>
  </si>
  <si>
    <t>FREQ_1</t>
  </si>
  <si>
    <t>Frequency on IN_1</t>
  </si>
  <si>
    <t>FREQ_2</t>
  </si>
  <si>
    <t>Frequency on IN_2</t>
  </si>
  <si>
    <t>FREQ_3</t>
  </si>
  <si>
    <t>Frequency on IN_3</t>
  </si>
  <si>
    <t>FREQ_4</t>
  </si>
  <si>
    <t>Frequency on IN_4</t>
  </si>
  <si>
    <t>FREQ_5</t>
  </si>
  <si>
    <t>Frequency on IN_5</t>
  </si>
  <si>
    <t>FREQ_6</t>
  </si>
  <si>
    <t>Frequency on IN_6</t>
  </si>
  <si>
    <t>FREQ_7</t>
  </si>
  <si>
    <t>Frequency on IN_7</t>
  </si>
  <si>
    <t>VOLT_0</t>
  </si>
  <si>
    <t>The analog sensor (messages Wialon adc1) in mV</t>
  </si>
  <si>
    <t>VOLT_1</t>
  </si>
  <si>
    <t>The analog sensor (messages Wialon adc2)</t>
  </si>
  <si>
    <t>VOLT_2</t>
  </si>
  <si>
    <t>The analog sensor (messages Wialon adc3)</t>
  </si>
  <si>
    <t>VOLT_3</t>
  </si>
  <si>
    <t>The analog sensor (messages Wialon adc4)</t>
  </si>
  <si>
    <t>VOLT_4</t>
  </si>
  <si>
    <t>The analog sensor (messages Wialon adc5)</t>
  </si>
  <si>
    <t>VOLT_5</t>
  </si>
  <si>
    <t>The analog sensor (messages Wialon adc6)</t>
  </si>
  <si>
    <t>VOLT_6</t>
  </si>
  <si>
    <t>The analog sensor (messages Wialon adc7)</t>
  </si>
  <si>
    <t>VOLT_7</t>
  </si>
  <si>
    <t>The analog sensor (messages Wialon adc8)</t>
  </si>
  <si>
    <t>TEMP_0</t>
  </si>
  <si>
    <t>The temperature sensor (1-wire) T_0 (formula for Wialon \ const100-const500)</t>
  </si>
  <si>
    <t>temperature range is from -500.00 to +500.00 C
temperature is transmitted to the server multiplied by 100 (to convert the decimal value into an integer), for example 28.33 to 2833.
For the 0 (zero) degree takes a value of 50,000, but when unpacking the values ​​from the device you need to take 50,000, for example:
1. convert -26.33 -2633, add 50000 = 47367 pass on the server subtract 50000, and again obtain -2633
2. 16.55 transform 1655, we add the 50,000 = 51655 pass on the server subtract 50000, and again obtain 1655
Ie Range of temperature should be from 0 to 100,000.
Meaning 111111 - says an incorrect calculation of the temperature</t>
  </si>
  <si>
    <t>TEMP_1</t>
  </si>
  <si>
    <t>The temperature sensor (1-wire) T_1</t>
  </si>
  <si>
    <t>TEMP_2</t>
  </si>
  <si>
    <t>The temperature sensor (1-wire) T_2</t>
  </si>
  <si>
    <t>TEMP_3</t>
  </si>
  <si>
    <t>The temperature sensor (1-wire) T_3</t>
  </si>
  <si>
    <t>TEMP_4</t>
  </si>
  <si>
    <t>The temperature sensor (1-wire) T_4</t>
  </si>
  <si>
    <t>TEMP_5</t>
  </si>
  <si>
    <t>The temperature sensor (1-wire) T_5</t>
  </si>
  <si>
    <t>TEMP_6</t>
  </si>
  <si>
    <t>The temperature sensor (1-wire) T_6</t>
  </si>
  <si>
    <t>TEMP_7</t>
  </si>
  <si>
    <t>The temperature sensor (1-wire) T_7</t>
  </si>
  <si>
    <t>TEMP_8</t>
  </si>
  <si>
    <t>The temperature sensor (1-wire) T_8</t>
  </si>
  <si>
    <t>TEMP_9</t>
  </si>
  <si>
    <t>The temperature sensor (1-wire) T_9</t>
  </si>
  <si>
    <t>can_log_number - program number CAN</t>
  </si>
  <si>
    <t>Number installed program CAN module (CAN)</t>
  </si>
  <si>
    <t>can_log_number</t>
  </si>
  <si>
    <t>CAN - can_security_state
Flags Security Status  - 
Bit-transmitted, for example: cff0..cff31</t>
  </si>
  <si>
    <t xml:space="preserve">cff0- car factory was closed with the remote control
cff1 - car factory was opened with a remote control
cff2- trunk was opened with a remote control factory
cff3 - module sent a signal to the protection of restatement
cff4
cff5
cff6 - CAN-module entered the mode «sleep»
cff7
cff8 - the driver's door is open
cff9 - passenger door is open
cff10 - trunk is open
cff11 - engine cover is open
cff12 - tightened handbrake lever
cff13 - the foot brake is depressed
cff14 - the engine is running
cff15 - webasto
cff16 - ignition is on
cff17 - alarm mode - standard protection
cff18 - closed regular remote control
cff19 - key in the ignition
cff20 - dynamic lighting
cff21 - opened the front passenger door
cff22 - open rear doors
cff23
cff24
cff25
cff26
cff27
cff28
cff29
cff30
cff31
</t>
  </si>
  <si>
    <t xml:space="preserve">can_sequrity_state
Example: 33 22 33 44 55
the value is 0x55443322, or bitwise 100010000101000001001000001001
cff0
cf3
</t>
  </si>
  <si>
    <t>CAN - total engine operating time (hours), multiplied. 100 / DES_schetchik hours</t>
  </si>
  <si>
    <t>Example: actual 25698.35 - pass 2569835, max 99999999</t>
  </si>
  <si>
    <t>can_eng_full_time</t>
  </si>
  <si>
    <t>CAN - full run TC (km), multiplied by 100 / DES_aktivnaya power</t>
  </si>
  <si>
    <t>Example: actual 25698.35 - pass 2569835, 999999999 max</t>
  </si>
  <si>
    <t>can_full_mileage</t>
  </si>
  <si>
    <t>CAN - full fuel consumption (l), multiplied by 10 / DES_davlenie oil</t>
  </si>
  <si>
    <t>Example: actual 25698.3 - pass 256,983, max 99999999</t>
  </si>
  <si>
    <t>can_fuel_level_cons</t>
  </si>
  <si>
    <t>CAN - the fuel level in the tank (%) / DES_uroven</t>
  </si>
  <si>
    <t>multiplied by 10 (for example, actually 55.3 - 553 pass), the maximum value of 1000</t>
  </si>
  <si>
    <t>can_fuel_level</t>
  </si>
  <si>
    <t>CAN - the fuel level in the tank (l)</t>
  </si>
  <si>
    <t>CAN - engine speed (rpm) / DES_rpm</t>
  </si>
  <si>
    <t>can_rpm</t>
  </si>
  <si>
    <t>CAN - engine temperature (C) / DES_temperatura</t>
  </si>
  <si>
    <t>if more than in 1000 - a negative temperature (for example, 1008 means it is minus 8), everything else is considered positive temperature</t>
  </si>
  <si>
    <t>can_eng_temp</t>
  </si>
  <si>
    <t>CAN - Vehicle speed (km / h) / DES_voltage</t>
  </si>
  <si>
    <t>can_speed</t>
  </si>
  <si>
    <t>CAN - the pressure on the axis 1 (kg) / kW DES_vyrabotano</t>
  </si>
  <si>
    <t>CAN - the pressure on the axis 1 (kg)</t>
  </si>
  <si>
    <t>can_axle_load1</t>
  </si>
  <si>
    <t>CAN - the pressure on the axis 2 (kg) / launches DES_neudachnye</t>
  </si>
  <si>
    <t>CAN - the pressure on the axis 2 (kg)</t>
  </si>
  <si>
    <t>can_axle_load2</t>
  </si>
  <si>
    <t>CAN - the pressure on the axis 3 (kg) / DES_nalichie error</t>
  </si>
  <si>
    <t>CAN - the pressure on the axis 3 (kg)</t>
  </si>
  <si>
    <t>can_axle_load3</t>
  </si>
  <si>
    <t>CAN - the pressure on the axis of 4 (kg) / DES_preduprezhdeniya</t>
  </si>
  <si>
    <t>CAN - the pressure on the axis of 4 (kg) / Haldex Trailer voltage (mV)</t>
  </si>
  <si>
    <t>CAN - pressure on the axle 5 (kg)</t>
  </si>
  <si>
    <t>CAN - the pressure on the axle 5 (kg) / Haldex Axle load (multiplied by 10 bar pressure)</t>
  </si>
  <si>
    <t>can_axle_load4</t>
  </si>
  <si>
    <t>CAN - can_accident
Flags state control
Bit-transmitted, for example: cfa0..cfa31</t>
  </si>
  <si>
    <t>cfa0 -
cfa1 -
cfa2 -
cfa3 -
cfa4 -
cfa5 -
cfa6 - Passenger Seat Belt
cfa7 - Driver Seat Belt
cfa8 - ESP (electronic stability control)
cfa9 - Indicator glow plug
cfa10 - FAP (particulate filter)
cfa11 - Electric pressure adjustment
cfa12 - Parking lights
cfa13 - Dipped headlights
cfa14 - Main beam headlights
cfa15 -
cfa16 - Check the motor (cfa8)
cfa17 - fault coverage
cfa18 - Low tire pressure
cfa19 - Worn brake pads
cfa20 - Warning
cfa21 - ABS (anti-lock)
cfa22 - Low fuel level
cfa23 -
cfa24 - STOP
cfa25 - pressure / oil level
cfa26 - temperature / coolant level
cfa27 - brake system
cfa28 - Charging the battery
cfa29 - AIRBAG (airbag)
cfa30 -
cfa31 -</t>
  </si>
  <si>
    <t xml:space="preserve">Example: 41 10 20 40 80
the value is 0x80402010, or bitwise 10000000010000000010000000010000
</t>
  </si>
  <si>
    <t>CAN - Status Flags agricultural equipment
CAN_Agro
Bit-transmitted, for example: cfs0..cfs31</t>
  </si>
  <si>
    <t>cfs0 - Threshing drum included (cfs0)
cfs1 - Included unloading pipe
cfs2 - Includes hydraulics
cfs3 - including power PTO
cfs4
cfs5
cfs6
cfs7
cfs8 - Excessive play under the threshing drum (cfs8)
cfs9 - Open the entrance to the grain tank
cfs10 - Grain Hopper 100%
cfs11 - Grain Silo 70%
cfs12 - Clogged filter hydraulic oil
cfs13 - Low oil pressure of the hydraulic system
cfs14 - Low hydraulic oil level
cfs15 - Clogged filter hydraulic brakes
cfs16 - Clogged engine oil filter (cfs16)
cfs17 - Clogged fuel filter
cfs18 - Clogged air filter
cfs19 - Emergency oil temperature in the hydraulic suspension
cfs20 - Emergency oil temperature in the hydraulic rams
cfs21 - Emergency engine oil pressure
cfs22 - Emergency coolant level
cfs23 - overflow section of the hydraulic unit
cfs24 - On unloading auger drive when folded. unloading. pipe (cfs24)
cfs25 - no operator
cfs26 - Clogging straw
cfs27 - Presence of water in fuel
cfs28 - Fan speed cleaning
cfs29 - drum speed
cfs30
cfs31</t>
  </si>
  <si>
    <t xml:space="preserve">
Example: 42 09 12 14 22
the value is 0x22141209, or bitwise 100010000101000001001000001001
cfs0 - Threshing drum included
cfs3 - including power PTO
cfs9 - Open the entrance to the grain tank
cfs12 - Clogged filter hydraulic oil
cfs18 - Clogged air filter
cfs20 - Emergency oil temperature in the hydraulic rams
cfs25 - no operator
cfs29- drum speed</t>
  </si>
  <si>
    <t>CAN - The fluid level AdBLUE (%)</t>
  </si>
  <si>
    <t>CAN - The fluid level AdBLUE (L)</t>
  </si>
  <si>
    <t>CAN - driving_state
position of the gas pedal \ engine load \ characteristic of a movement
transmitted Bit-motion characteristic (feature motion), for example: cfm16..cfm31</t>
  </si>
  <si>
    <t>1st byte position of the gas pedal 0x44 = 68% (CAP)
2nd byte engine load 0x33 = 51% (CLE)
cfm16
cfm17 - Low levels of water in the tank in the tank
cfm18 - Turning back hydraulics
cfm19 - Standalone engine is started
cfm20 - Joystick to the right
cfm21 - Joystick left
cfm22 - Joystick forward
cfm23 - Joystick ago
cfm24 - brush included
cfm25 - The water supply is turned on
cfm26 - Vacuums
cfm27 - Unloading of the hopper
cfm28 - High-pressure washers (Kerher)
cfm29 - Dispersion salt (sand) inclusive
cfm30 - Low salt (sand) in the tank
cfm31</t>
  </si>
  <si>
    <t>Example: 45 44 33 22 11
1 byte 0x44
position of the gas pedal 68%
2-byte 0x33
the engine load of 51%
3 bytes and 4 bytes (16-31 bits) 0x1122 or bitwise 1000100100010
cfm17 - Low levels of water in the tank in the tank
cfm21 - Joystick left
cfm24 - brush included
cfm28 - High-pressure washers (Kerher)</t>
  </si>
  <si>
    <t>LLS_0</t>
  </si>
  <si>
    <r>
      <rPr>
        <color rgb="FF000000"/>
      </rPr>
      <t xml:space="preserve">The value of the relative level and temperature DUT protocol LLS
the first 2 bytes - level value 0x3111 = 12561 (LLS) or open sensor for TEMP (0-close, 1-open) or illumination level
3rd byte - temperature 0xA0 = - 96 or 0x50 = 80
</t>
    </r>
    <r>
      <rPr>
        <color rgb="FFFF9900"/>
      </rPr>
      <t>4th 0x00 - voltage battery for BLE sensors (LLS, TEMP)  multiplied by 10 (for example, actually 3.6 - 36 pass)</t>
    </r>
  </si>
  <si>
    <t>46 11 31 A0 00</t>
  </si>
  <si>
    <t>LLS_1</t>
  </si>
  <si>
    <t>The value of the relative level and temperature DUT protocol LLS</t>
  </si>
  <si>
    <t>LLS_2</t>
  </si>
  <si>
    <t>LLS_3</t>
  </si>
  <si>
    <t>LLS_4</t>
  </si>
  <si>
    <t>LLS_5</t>
  </si>
  <si>
    <t>LLS_6</t>
  </si>
  <si>
    <t>LLS_7</t>
  </si>
  <si>
    <t>LLS_8</t>
  </si>
  <si>
    <t>LLS_9</t>
  </si>
  <si>
    <t>The value of the relative level and temperature DUT protocol LLS
the first 2 bytes = level value 0x3111 = 12561
the third byte - temperature 0xA0 = - 96 or 0x50 = 80
Temperature in degrees Celsius (-128 ... 127)
four bytes - the number of sensor 0x03 - sensor №3</t>
  </si>
  <si>
    <t>50 11 31 A0 03</t>
  </si>
  <si>
    <t>MicroLink - Return Temp (messages Wialon ml_ret)</t>
  </si>
  <si>
    <t>0xC1DF6A76 = -27.9269828 With the temperature in the IEEE 754 format</t>
  </si>
  <si>
    <t>50 76 6A DF C1</t>
  </si>
  <si>
    <t>MicroLink - Supply Temp (messages Wialon ml_sup)</t>
  </si>
  <si>
    <t>51 76 6A DF C1</t>
  </si>
  <si>
    <t>MicroLink - Setpoint Temp (messages Wialon ml_sp)</t>
  </si>
  <si>
    <t>52 76 6A DF C1</t>
  </si>
  <si>
    <t>MicroLink - Container ID (letter) (in messages Wialon ml_cid)</t>
  </si>
  <si>
    <t>0x43484C55 = "the ear"</t>
  </si>
  <si>
    <t>4C 53 55 48 43</t>
  </si>
  <si>
    <t>MicroLink - Container ID (number) (messages Wialon ml_cid)</t>
  </si>
  <si>
    <t>0x0001E240 = 123456</t>
  </si>
  <si>
    <t>E2 54 40 01 00</t>
  </si>
  <si>
    <t>MicroLink - serial number comp + SW Rev</t>
  </si>
  <si>
    <t>E2 55 40 01 00</t>
  </si>
  <si>
    <t>ранее был тэг 80</t>
  </si>
  <si>
    <t>MicroLink - reserve</t>
  </si>
  <si>
    <t>The display driver DV-01</t>
  </si>
  <si>
    <t>Posts in Wialon driver_status = name, driver_status_id = number</t>
  </si>
  <si>
    <t>Data on the maneuver / accident</t>
  </si>
  <si>
    <t xml:space="preserve">0-15 Bit - Maximum positive acceleration along the X axis for the period from the previous message in mg (int 16)
Bits 16-31 - Maximum negative acceleration along the X axis for the period from the previous message in mg (int 16)
</t>
  </si>
  <si>
    <t>for EcoDriving (always with 91, 92 and 93 tags)
Example: 5B 01 11 02 22
value is set to 0x22021101
axis value X+ = 4353 (0x1101)
axis value X- = 8706 (0x2202)
Example: 5C 00 00 03 33
value is set to 0x33030000
axis value Y = 13059 (0x3303)</t>
  </si>
  <si>
    <t>0-15 Bit - Reserved
Bits 16-31 - Maximum angle acceleration value for the period from the previous message in mg (int 16)</t>
  </si>
  <si>
    <t>0-15 Bit - Maximum positive acceleration along the Z axis for the period from the previous message in mg (int 16)
Bits 16-31 - Maximum negative acceleration along the Z axis for the period from the previous message in mg (int 16)</t>
  </si>
  <si>
    <t>balance of SIM1</t>
  </si>
  <si>
    <t>signed int</t>
  </si>
  <si>
    <t>balance of SIM2</t>
  </si>
  <si>
    <t>OBD Diagnostic Trouble Code (DTC)</t>
  </si>
  <si>
    <t>0-3 Bit - fifth DTC character (0 - F)
4-7 Bit - fourth DTC character (0 - F)
8-11 Bit - third DTC character (0 - F)
12-13 Bit - second DTC character (0 - 3)
14-15 Bit - first DTC character (0 = P, 1 = C, 2 = B, 3 = U)
16-19 Bit - DTC type (3 = Stored, 7 = Pending, A = Permanent)
20-23 Bit - DTC source (0 = 7E8, 1 = 7E9, 2 = 7EA etc)
24-31 Bit - DTC id in tracker's table</t>
  </si>
  <si>
    <t xml:space="preserve">Example:
60 AB D3 7A 00
  DTC_00_Value = U13AB, DTC_00_Src = 0x7EF, DTC_00_Type = A
60 7A 80 27 01
  DTC_01_Value = B007A, DTC_01_Src = 0x7EA, DTC_01_Type = 7
60 06 07 03 02
  DTC_02_Value = P0706, DTC_02_Src = 0x7E8, DTC_02_Type = 3
</t>
  </si>
  <si>
    <t>SIM1 Cell ID extended</t>
  </si>
  <si>
    <t>SIM2 Cell ID extended</t>
  </si>
  <si>
    <t>DS2 for A5, I4, L1, A series</t>
  </si>
  <si>
    <t>see Table 6</t>
  </si>
  <si>
    <t>Mileage Tachograph</t>
  </si>
  <si>
    <t>Mileage in kilometers multiplied by 100. (such as real 123.45 km - pass 12345)</t>
  </si>
  <si>
    <t>Speed ​​Tachograph</t>
  </si>
  <si>
    <t>Tachograph vehicle speed multiplied by 256 (eg, 0x0548 = 5.28125 km / h)</t>
  </si>
  <si>
    <t>Voltage Tachograph</t>
  </si>
  <si>
    <t>System voltage Tachograph in millivolts</t>
  </si>
  <si>
    <t>Discopathy tachograph</t>
  </si>
  <si>
    <t xml:space="preserve">0-2 bit - Driver Activity: 0-rest, 1-free, 2-work-driving 3, 4-7 - Reserve
3-5 bits - the state of the driver card: 0-unknown, one is not authorized, it authorized 2 3 failed to extract, 4-7 - Reserve
6-8 bits - partner Activity: 0-rest, 1-free, 2-work-driving 3, 4-7 - Reserve
9-11 bits - the state of the card team-mate: 0-unknown, one is not authorized, it authorized 2 3 failed to extract, 4-7 - Reserve
Bit 16 - Ignition: 0 off, 1-inclusive
17 bits - weight: 1 disabled, 0-enabled
18 bit - mode "ferry / train": 0, not activated, 1 is activated
19 bit - mode "not applicable": 0, not activated, 1 is activated
</t>
  </si>
  <si>
    <t>Number of cards in a card reader driver (junior section)</t>
  </si>
  <si>
    <t>Bits 0-31 of the card number</t>
  </si>
  <si>
    <t>68 40 1C BC DF -&gt; 0xDFDC1C40
69 02 A0 01 2B -&gt; 0x2B01A002:
0x02DFDC1C40 = 12345678912 - card number
0x10 = 16 = 'G' - the index map update
0x03 = 3 = '3' - an index card replacement
0x00 = 0 = 'D' - type card
0x2B = 'RU' - the country code
We get the RU D 12345678912 3 G</t>
  </si>
  <si>
    <t>Number of cards in a card reader driver (older part)</t>
  </si>
  <si>
    <t>24-31bit - country code. 0x2B - RU
21-23bit - Card Type: 0 = Driver (D), 1 = Master (M), 2 = Controller (K), 3 = Enterprise (P)
15-20bit - The index of the replacement card. Set to 0 to 9, then - from A to Z.
9-14bit - Index map updates. Set to 0 to 9, then - from A to Z.
For card type 0:
0-8bit bits - Bits 32-41 card number
For cards like 1,2,3:
3-8bit bit - index cards. Set to 0 to 9, then - from A to Z.
0-2bit bits - Bits 32-34 card number</t>
  </si>
  <si>
    <t>Number of cards in a card reader mate (junior section)</t>
  </si>
  <si>
    <t>6A FF E3 0B 54 -&gt; 0x540BE3FF
6B EA 12 22 2B -&gt; 0x2B2212EA:
  0x2540BE3FF = 9999999999 - card number
  0x0F = 15 = 'F' - an index card
  0x09 = 9 = '9' - an index map update
  0x04 = 4 = "4" - the index card replacement
  0x01 = 1 = 'M' - type card
  0x2B = 'RU' - the country code
We get the RU M F 9999999999 F 4 9</t>
  </si>
  <si>
    <t>Number of cards in a card reader partner (principal part)</t>
  </si>
  <si>
    <t>Tachograph serial number (part 1)</t>
  </si>
  <si>
    <t>Tachograph serial number (part 2)</t>
  </si>
  <si>
    <t>Condition sensor G-Sensor</t>
  </si>
  <si>
    <t xml:space="preserve">Bit 0 - All the fields with information about the terminal and the vehicle properly filled
Bit 1 - Status of self
Bit 2 - Calibration Status
Bit 3 - Reported maneuver the vehicle
Bit 4 - Fixed an accident short
Bit 5 - Fixed long road accidents
Bit 6-7 Data bits
Bit 8-15 Reserved
Bit 16 - Sensor is determined, responding
Bit 17-30 Reserved
</t>
  </si>
  <si>
    <t>Data on the maneuver</t>
  </si>
  <si>
    <t xml:space="preserve">Bit 0-7 - type of maneuver:
1 - Accelerating
2 - Braking
3 - Left Turn
4 - The left turn with acceleration
5 - Left turn braking
6 - Left turn Wide
7 - Left wide turn with acceleration
8 - Left turn with wide braking
9 - Right turn
10 - Right turn acceleration
11 - Right turn braking
12 - Wide Right turn
13 - Right wide turn with acceleration
14 - Right turn with wide braking
15 - The circular movement
16 - Rebuilding
17 - Overtaking
18 - Bumps narrow
19 - Bumps wide
Bit 8-15 - Degree field:
1 - Low
2 - Medium
3 - High
Bit 16-31 - Time to maneuver in milliseconds
</t>
  </si>
  <si>
    <t>When maneuvering in a Packet of device tags peredayustsya 111,112,113</t>
  </si>
  <si>
    <t xml:space="preserve">Bit 0-15 - The value of the X axis is transmitted in mg (int 16)
Bits 16-31 of the Y-axis value is transmitted in mg (int 16)
</t>
  </si>
  <si>
    <t>If the tag contains Packet 111 - data tags are the parameters of the maneuver.
If the tag contains Packet 114 - data tags are the parameters of the accident.
In one Packet can not otdnovremenno transmitted data and maneuver of an accident</t>
  </si>
  <si>
    <t xml:space="preserve">Bit 0-15 - The Z-value is transferred in mg (int 16)
Bit 16-31 Reserved
</t>
  </si>
  <si>
    <t>The data on road accidents</t>
  </si>
  <si>
    <t>Bit 0-15 - number of accidents
Bit 16-23 - The direction of impact
1 Front
2 Rear
3 Side
Bit 24-31 - The severity of the accident</t>
  </si>
  <si>
    <t>When maneuvering in a Packet of device tags peredayustsya 114,112,113, 115, 116, 117, 118</t>
  </si>
  <si>
    <t>Time of the accident (EGTS)</t>
  </si>
  <si>
    <t>Breadth DTP (EGCS)</t>
  </si>
  <si>
    <t>Longitude accident (EGTS)</t>
  </si>
  <si>
    <t>Bit 0-7 - speed (EGTS)
Bit 8-15 - course (EGTS)
Bit 16-23 - Condition Vehicle during the accident:
- 16-bit - state ignition
- 17-bit - Driver Seat Belt Status
- 18-bit - the state of the passenger belt
- 19 bits - are valid coordinates of the accident
- Bit 20 - speed above 255 km / h</t>
  </si>
  <si>
    <t>120-129</t>
  </si>
  <si>
    <t>MODBUS
mbus</t>
  </si>
  <si>
    <t>4 bytes</t>
  </si>
  <si>
    <t>The data from the meter</t>
  </si>
  <si>
    <t>The volume of fuel in 0.01 liters, flowed through the flowmeter since the formation of the previous message (signed integer variable is 32 bits)</t>
  </si>
  <si>
    <t>always sent two tags 130 and 131 - can transmit the values ​​of multiple sensors.
Sensors are separated by number 131 tag bits 24-31
Transfer sequence: 130 TAG followed by 131 - it's importamt
Example: 82 22 11 00 00
82 - tag number (130)
the value is 0x00001122, or 4386 - the amount of fuel
Example: 83 04 03 02 01
83 - tag number (131)
the value is 0x01020304, or bitwise 1000000100000001100000100
flow rate = 772
sensor status = nominal mode
number of sensor = 1</t>
  </si>
  <si>
    <t>Bit 0-15 - The flow rate of 0.1 l / h. (symbolic variable short 16-bit)
Bit 16-23 - the status of the sensor:
-bit 16 Current mode: idle.
-bit 17 Current mode: the nominal mode.
-bit 18 current mode: Overload.
-bit 19 Current mode: cheat.
-bit 20 Current mode: negative.
21 -bit intervention.
-bit 22 - 23 Not used.
Bit 24-31 - number of sensor(0..255)</t>
  </si>
  <si>
    <t>full mileage of vehicle (km) over satellite, multiplied by 100</t>
  </si>
  <si>
    <t>gps_full_mileage</t>
  </si>
  <si>
    <t>Dilution of Precision</t>
  </si>
  <si>
    <t>Bit 0-15 - hdop, multiplied by 100
Bit 16-31 - reserved</t>
  </si>
  <si>
    <t>Example: 97 C3 05 00 00
97 - tag number (151)
hdop = 0x05C3 / 100 = 14.75</t>
  </si>
  <si>
    <t>HDOP(1 байт), температуру (1 байт) и время сессии (2  байта)  for Beacon only</t>
  </si>
  <si>
    <t>статус устройства</t>
  </si>
  <si>
    <t>баланс SIM1 и SIM2</t>
  </si>
  <si>
    <t>KUSS_L</t>
  </si>
  <si>
    <t>Литраж заправки в мл</t>
  </si>
  <si>
    <t>0xNNTTTTTT</t>
  </si>
  <si>
    <t>KUSS_N, KUSS_T</t>
  </si>
  <si>
    <t>Номер заправки и Продолжительность заправки</t>
  </si>
  <si>
    <t>Первый байт (старший) - номер заправки, последние 3 байта - продолжительност в секундах</t>
  </si>
  <si>
    <t>MODBUS</t>
  </si>
  <si>
    <t>SDV pressure address 1</t>
  </si>
  <si>
    <t>SDV pressure address 2</t>
  </si>
  <si>
    <t>SDV pressure address 3</t>
  </si>
  <si>
    <t>SDV pressure address 4</t>
  </si>
  <si>
    <t>SDV pressure address 5</t>
  </si>
  <si>
    <t>SDV pressure address 6</t>
  </si>
  <si>
    <t>SDV pressure address 7</t>
  </si>
  <si>
    <t>SDV pressure address 8</t>
  </si>
  <si>
    <t>ATOM video_id / abt_value</t>
  </si>
  <si>
    <t>ATOM state of cameras</t>
  </si>
  <si>
    <t>full active energy, multiplied by 100 / ATOM unique_label</t>
  </si>
  <si>
    <t>full reactive energy, multiplied by 100 / ATOM video_start_time</t>
  </si>
  <si>
    <t>ATOM ERROR CODES</t>
  </si>
  <si>
    <t>Virtual Sensors
(designation wialon VS_n) see Table 5</t>
  </si>
  <si>
    <t>1st byte 0x22 = 34 - the number of virtual sensor (n)
2,3,4 bytes - the sensor value 0x554433 = 5,588,019</t>
  </si>
  <si>
    <t xml:space="preserve"> BE 22 33 44 55</t>
  </si>
  <si>
    <t xml:space="preserve">SIM card 2
LAC
CID </t>
  </si>
  <si>
    <t>C8 17 14 01 FF</t>
  </si>
  <si>
    <t>SIM card 2
Signal level GSM (old. Byte)
MCC (2 bytes)
MNC (low byte)</t>
  </si>
  <si>
    <t>C9 01 FA 00 14</t>
  </si>
  <si>
    <t>ICCID sim card 2 [3 to 11 digits]</t>
  </si>
  <si>
    <t>ICCID (Integrated Circuit Card Id), the length of the ICCID - 20 digits
the first 2 digits for SIM-cards are always 89 (not passed), unused last digits are filled by 0
ca e2 e1 2c 16 = 202 tag (iccid2p1) 0x162ce1e2 = 372040162
CB CC 6A 91 05 = 203 tag (iccid2p2) 0x05916acc = 093416140
89 + iccid2p1 + iccid2p2 = 89372040162093416140</t>
  </si>
  <si>
    <t>ICCID sim card 2 [from 12 to 20 digits]</t>
  </si>
  <si>
    <t>MAC BLE</t>
  </si>
  <si>
    <t>210-229</t>
  </si>
  <si>
    <t>VAL_x</t>
  </si>
  <si>
    <t>обычное число (макс 4 Б)</t>
  </si>
  <si>
    <t>DC 0C F0 84 63</t>
  </si>
  <si>
    <t>informational messages</t>
  </si>
  <si>
    <t>cm. Table. 3 information messages (error status, etc.)</t>
  </si>
  <si>
    <t>Hard &amp; Soft versions</t>
  </si>
  <si>
    <t>Версия передаётся в формате:
1. Старшая аппаратная
2. Младшая аппаратная  (08.02)
3. Старшая программная
4. Младшая программная (01.45)</t>
  </si>
  <si>
    <t xml:space="preserve">fb 08 02 01 2d </t>
  </si>
  <si>
    <t>Hardware status (HS)</t>
  </si>
  <si>
    <t>cm. Table. 4 module status device (HS)</t>
  </si>
  <si>
    <t>ICCID sim card 1 [3 to 11 digits] - iccid1p1</t>
  </si>
  <si>
    <t>ICCID (Integrated Circuit Card Id), the length of the ICCID - 20 digits
the first 2 digits for SIM-cards are always 89 (not passed)               8937204016209341614                        printf(“ICCID1=89%09d%09d”, iccid1p1, iccid1p2)                    
fd e2 e1 2c 16 (iccid1p1) 162ce1e2 = 372040162
fe cc 6a 91 05 (iccid1p2) 05916acc = 93416140</t>
  </si>
  <si>
    <t>fd e2 e1 2c 16</t>
  </si>
  <si>
    <t>ICCID sim card 1 [from 12 to 20 digits]  - iccid1p2</t>
  </si>
  <si>
    <t>fe cc 6a 91 05</t>
  </si>
  <si>
    <t>Device ID</t>
  </si>
  <si>
    <t>Table 2. Description of the device status (DS)</t>
  </si>
  <si>
    <t>Number bits</t>
  </si>
  <si>
    <t>Input IN0 - in Wialon in1</t>
  </si>
  <si>
    <t>messages Wialon I / 0</t>
  </si>
  <si>
    <t>0C F0 84 09 63
                     31 Bit 0
0x6384f00c = 0110 0011 1000 0100 1111 0000 0000 1100
0 - IN0 = 0
1 - IN1 = 1
2 - IN2 = 1
3 - IN3 = 1
4 - IN4 = 0
5 - IN5 = 0
6 - IN6 = 0
7 - IN7 = 0
8 - OUT0 = 0
9 - OUT1 = 0
10 - OUT2 = 0
11 - OUT3 = 0
12,13 - GSM = 3
14,15 - GPS / Glonass = 3
16 - MOVE_SENS = 0
17 - SIM = 0
18 - 1 = SIM_INSERT
19 - ST0 = 0
20 - ST1 = 0
21 - ST2 = 0
22.23 - Bat status 1 =
24-31 - VOLT = 99 (99 * 150 = 14850 mV)</t>
  </si>
  <si>
    <t>Input IN1 - in Wialon in2</t>
  </si>
  <si>
    <t>Input IN2 - in Wialon in3</t>
  </si>
  <si>
    <t>Input IN3 - in Wialon in4</t>
  </si>
  <si>
    <t>Input IN4 - in Wialon in5</t>
  </si>
  <si>
    <t>Input IN5 - in Wialon in6</t>
  </si>
  <si>
    <t>Input IN6 - in Wialon in7</t>
  </si>
  <si>
    <t>Input IN7 - in Wialon in8</t>
  </si>
  <si>
    <t>Output OUT0 - in Wialon out1</t>
  </si>
  <si>
    <t>Output OUT1 - in Wialon out2</t>
  </si>
  <si>
    <t>Output OUT2 - in Wialon out3</t>
  </si>
  <si>
    <t>Output OUT3 - in Wialon out4</t>
  </si>
  <si>
    <t>the state of the GSM modem (messages Wialon gsm_st)</t>
  </si>
  <si>
    <t>0 - off, 1 - Registration in network 2 - comp. 3 server - replies from the server (standard)</t>
  </si>
  <si>
    <t>the state of GPS / Glonass module (messages Wialon nav_st)</t>
  </si>
  <si>
    <t>0 - off 1 - search for satellites, 2 - &lt;8 satellites, 3 - more than 8 satellites (normal)</t>
  </si>
  <si>
    <t>Motion Sensor (messages Wialon mw)</t>
  </si>
  <si>
    <t>1 - motion is 0 - no movement</t>
  </si>
  <si>
    <t>SIM card / SIM-chip (messages Wialon sim_t)</t>
  </si>
  <si>
    <t>1 - sim-chip 0 - sim-card</t>
  </si>
  <si>
    <t>the presence of a SIM card / SIM-chip (messages Wialon sim_in)</t>
  </si>
  <si>
    <t>1 - insert, 0 - no</t>
  </si>
  <si>
    <t>st0 - mode service / sensor opening</t>
  </si>
  <si>
    <t>mode (0 - monitoring, 1 - protection)</t>
  </si>
  <si>
    <t>st1 - SOS mode monitor / alarm mode protection / 1-wire discrete mode</t>
  </si>
  <si>
    <t>status of the alarm button (SOS) / alarm in the armed mode</t>
  </si>
  <si>
    <t>st2 - Status of plugs</t>
  </si>
  <si>
    <t>ignition or ignition of the CAN virtual</t>
  </si>
  <si>
    <t>Backup battery status (in messages Wialon pwr_in)</t>
  </si>
  <si>
    <t>00 - less than 3V or not connected, 01 - from 3V to 3.8 V, 10 - from 3.8V to 4.1V, 11 - more than 4.1V (normal)</t>
  </si>
  <si>
    <t>external voltage (messages Wialon pwr_ext)</t>
  </si>
  <si>
    <t>External voltage divided by 150
example: 0x54 = 84 * 150 = 12600 mV
max. 38400 mV</t>
  </si>
  <si>
    <t>thirty</t>
  </si>
  <si>
    <t>Table 6 . Description of the device status 2 (DS2)</t>
  </si>
  <si>
    <t>Статус GPS /ГЛОНАСС  [nav_st]</t>
  </si>
  <si>
    <t>0 - выключен
1 - включен
2 - включен, NMEA OK, поиск спутников
3 - 3D fix</t>
  </si>
  <si>
    <t>Cтатус GSM [gsm_st]</t>
  </si>
  <si>
    <t>0 - выключен
1 - включен 
2 - AT Ok
3 - активация GPRS
4 - GPRS Ok (на актвной сим-карте)</t>
  </si>
  <si>
    <t>Активная SIM [sim_t]</t>
  </si>
  <si>
    <t>0 - SIM1, 1 - SIM2</t>
  </si>
  <si>
    <t>status SIM card 1 GSM [sim1_st]</t>
  </si>
  <si>
    <t>0 - нет симкарты
1 - регистрация в дом сети
2 - поиск сети
3 - регистрация отклонена
4 - резерв
5 - регистрация роуминг
6 - ошибка ПИН
7 - резерв</t>
  </si>
  <si>
    <t>status SIM card 2 GSM [sim2_st]</t>
  </si>
  <si>
    <t>Статус Сервера 0 [S0_st] - служебный</t>
  </si>
  <si>
    <t xml:space="preserve">0 - не используется / CLOSED
1 - установка соединения / CONNECTING
2 - соединение установлено / CONNECT OK
3 - резерв
</t>
  </si>
  <si>
    <t>Статус Сервера 1 [S1_st] - ссервер мониторинга 1</t>
  </si>
  <si>
    <t>Статус Сервера 2 [S2_st] - ссервер мониторинга 2</t>
  </si>
  <si>
    <t>Статус Сервера 3 [S3_st] - ссервер мониторинга 3</t>
  </si>
  <si>
    <t>Акселерометр  [mw]</t>
  </si>
  <si>
    <t>0 - стоянка
1 - движение 
2 - ошибка 
3 - ошибка самотестирования</t>
  </si>
  <si>
    <t>Датчик вскрытия [os] / BLE Tag (L, A seies)</t>
  </si>
  <si>
    <t>0 - закрыто, 1 - открыто /  0 - отсутствует, 1 - присутствует</t>
  </si>
  <si>
    <t>карта MicroSD [msd]</t>
  </si>
  <si>
    <t>0 - нет
1 - есть
2 - ошибка
3 - резерв</t>
  </si>
  <si>
    <t>Bluetooth [BT]</t>
  </si>
  <si>
    <t xml:space="preserve">0 - выключен
1 - включен </t>
  </si>
  <si>
    <t>Гироскоп [gyro]</t>
  </si>
  <si>
    <t>0 - выключен
1 - включен 
2 - ошибка 
3 -</t>
  </si>
  <si>
    <t>28..31</t>
  </si>
  <si>
    <t>Резерв</t>
  </si>
  <si>
    <t>Table 3. Description of messages from the device</t>
  </si>
  <si>
    <t>room</t>
  </si>
  <si>
    <t>...</t>
  </si>
  <si>
    <t>registration request unit</t>
  </si>
  <si>
    <t>request sent</t>
  </si>
  <si>
    <t>request has been successfully worked out</t>
  </si>
  <si>
    <t>Error in query</t>
  </si>
  <si>
    <t>query device settings</t>
  </si>
  <si>
    <t>Error in query (the same settings)</t>
  </si>
  <si>
    <t>request the current version</t>
  </si>
  <si>
    <t>request for a piece of firmware</t>
  </si>
  <si>
    <t>firmware is loaded successfully</t>
  </si>
  <si>
    <t>transfer request settings</t>
  </si>
  <si>
    <t>confirmation</t>
  </si>
  <si>
    <t>querying the server</t>
  </si>
  <si>
    <t>Team registration</t>
  </si>
  <si>
    <t>internal command</t>
  </si>
  <si>
    <t>a team from the server</t>
  </si>
  <si>
    <t>command via SMS</t>
  </si>
  <si>
    <t>team through the Viewer</t>
  </si>
  <si>
    <t>team call</t>
  </si>
  <si>
    <t>command to update the device settings</t>
  </si>
  <si>
    <t>command to update the device software</t>
  </si>
  <si>
    <t>Device startup</t>
  </si>
  <si>
    <t>before restart</t>
  </si>
  <si>
    <t>MORE_LOADER_ERRORs</t>
  </si>
  <si>
    <t>cancel update</t>
  </si>
  <si>
    <t>MORE_WR / RD_ERRORs</t>
  </si>
  <si>
    <t>CRC_32 ERROR</t>
  </si>
  <si>
    <t>UpSetSt</t>
  </si>
  <si>
    <t>update the configuration at each start</t>
  </si>
  <si>
    <t>UpSetTime</t>
  </si>
  <si>
    <t>re-set the interval</t>
  </si>
  <si>
    <t>Time synchronization of GPS / Glonass</t>
  </si>
  <si>
    <t>synchronization of time through the configurator</t>
  </si>
  <si>
    <t>time synchronization with server monitoring</t>
  </si>
  <si>
    <t>load filter: Duplicate Time</t>
  </si>
  <si>
    <t>send a first valid position</t>
  </si>
  <si>
    <t>send last valid point</t>
  </si>
  <si>
    <t>It worked condition at the time</t>
  </si>
  <si>
    <t>event 1</t>
  </si>
  <si>
    <t>worked condition of the distance</t>
  </si>
  <si>
    <t>The first point is valid after the start of the device</t>
  </si>
  <si>
    <t>NMEA packet loss from the module</t>
  </si>
  <si>
    <t>Forced restart the device by NMEA</t>
  </si>
  <si>
    <t>The first coordinate is valid</t>
  </si>
  <si>
    <t>the latter is valid coordinate</t>
  </si>
  <si>
    <t>worked condition speed</t>
  </si>
  <si>
    <t>worked condition at a corner</t>
  </si>
  <si>
    <t>event 4</t>
  </si>
  <si>
    <t>worked condition at zero speed</t>
  </si>
  <si>
    <t>Discrete pin changed</t>
  </si>
  <si>
    <t>manifestation of parameter vs_12 (only for L1 and A-Series)</t>
  </si>
  <si>
    <t>Reset filters coordinate when sending to the server</t>
  </si>
  <si>
    <t>first message info</t>
  </si>
  <si>
    <t>GPS / GLONASS power short circuit detect</t>
  </si>
  <si>
    <t>I moved to the stop mode</t>
  </si>
  <si>
    <t>event 2</t>
  </si>
  <si>
    <t>I went to sleep</t>
  </si>
  <si>
    <t>came out of sleep by the event - the movement</t>
  </si>
  <si>
    <t>came out of sleep by the event - Timer</t>
  </si>
  <si>
    <t>I came out of sleep by the event - board. voltage</t>
  </si>
  <si>
    <t>I came out of sleep by the event - triggered input</t>
  </si>
  <si>
    <t>came out of sleep by the event - GPS / Glonass</t>
  </si>
  <si>
    <t>Start movenent</t>
  </si>
  <si>
    <t>event 3</t>
  </si>
  <si>
    <t>Shock detected</t>
  </si>
  <si>
    <t>Tilt detected</t>
  </si>
  <si>
    <t>No response from the server</t>
  </si>
  <si>
    <t>No response from the server when you try again</t>
  </si>
  <si>
    <t>Error while sending data from the memory</t>
  </si>
  <si>
    <t>Error sending current data</t>
  </si>
  <si>
    <t>ER_HEADER</t>
  </si>
  <si>
    <t>ER_SERVER_ANS (0xFE)</t>
  </si>
  <si>
    <t>error in ADC</t>
  </si>
  <si>
    <t>error in the GSM</t>
  </si>
  <si>
    <t>transmission error data to the server</t>
  </si>
  <si>
    <t>inc_nmea</t>
  </si>
  <si>
    <t>write tempory settings</t>
  </si>
  <si>
    <t>Checksum error when sending packets</t>
  </si>
  <si>
    <t>switching between SIM cards</t>
  </si>
  <si>
    <t>RTC fail</t>
  </si>
  <si>
    <t>external power changed</t>
  </si>
  <si>
    <t>Cover Sensor Activated</t>
  </si>
  <si>
    <t>switched mode DEEP SLEEP</t>
  </si>
  <si>
    <t>Deep Sleep mode (consumption 4-5 mA)</t>
  </si>
  <si>
    <t>I emerged from DEEP SLEEP timer</t>
  </si>
  <si>
    <t>signal transmission life</t>
  </si>
  <si>
    <t>I emerged from DEEP SLEEP to change the inlet</t>
  </si>
  <si>
    <t>transfer of disturbing messages</t>
  </si>
  <si>
    <t>It emerged from DEEP SLEEP motion detected</t>
  </si>
  <si>
    <t>It emerged from DEEP SLEEP to change the input voltage</t>
  </si>
  <si>
    <t>MODBUS_RTU PACKET</t>
  </si>
  <si>
    <t>a request to upload a file from the tachograph .ddd</t>
  </si>
  <si>
    <t>.ddd start automatically upload the file over the interval</t>
  </si>
  <si>
    <t>.ddd file successfully vygruzhen around tachograph</t>
  </si>
  <si>
    <t>Invalid password authorization canister in the tachograph</t>
  </si>
  <si>
    <t>An error occurred when unloading from the tachograph</t>
  </si>
  <si>
    <t>card is removed during a file upload .ddd</t>
  </si>
  <si>
    <t>No card in the card reader or card is not authorized</t>
  </si>
  <si>
    <t>tachograph stopped responding (perhaps asleep)</t>
  </si>
  <si>
    <t>Driver Activity has changed</t>
  </si>
  <si>
    <t>G-sensor command response calibration</t>
  </si>
  <si>
    <t>External device firmware has been downloaded</t>
  </si>
  <si>
    <t>External device firmware has been updated</t>
  </si>
  <si>
    <t>An error occurred while external device updating</t>
  </si>
  <si>
    <t>CAN sniffer started</t>
  </si>
  <si>
    <t>CAN autobaudrate ready</t>
  </si>
  <si>
    <t>log collect finished, file is full</t>
  </si>
  <si>
    <t>log collect finished, timeout</t>
  </si>
  <si>
    <t>CAN sniffer start fail</t>
  </si>
  <si>
    <t>CAN autobaudrate fail</t>
  </si>
  <si>
    <t>create CAN file fail</t>
  </si>
  <si>
    <t>save CAN file fail</t>
  </si>
  <si>
    <t>860-1116</t>
  </si>
  <si>
    <t>Exceptions of the G-Sensor</t>
  </si>
  <si>
    <t>Change state of IN0</t>
  </si>
  <si>
    <t>Change state of IN7</t>
  </si>
  <si>
    <t>Change state of IN8 - 1-WIRE discrete mode (IN8 for A5)</t>
  </si>
  <si>
    <t>Change state of IN9 - Sensor opening (IN9 for A5)</t>
  </si>
  <si>
    <t>Ignition is ON</t>
  </si>
  <si>
    <t>Ignition is OFF</t>
  </si>
  <si>
    <t>Engine is ON</t>
  </si>
  <si>
    <t>Engine is OFF</t>
  </si>
  <si>
    <t>1250 + x</t>
  </si>
  <si>
    <t>Change state of extended INx, x = 0...9</t>
  </si>
  <si>
    <t>1300 - 1315</t>
  </si>
  <si>
    <t>start of exceed of acceleration threshold</t>
  </si>
  <si>
    <t>1320 - 1335</t>
  </si>
  <si>
    <t>end of exceed of acceleration threshold</t>
  </si>
  <si>
    <t>1340 - 1345</t>
  </si>
  <si>
    <t>start of exceed of speed threshold</t>
  </si>
  <si>
    <t>1350 - 1356</t>
  </si>
  <si>
    <t>end of exceed of speed threshold</t>
  </si>
  <si>
    <t>Table 4. Description Module status device (HS)</t>
  </si>
  <si>
    <t>the status of the modules devices</t>
  </si>
  <si>
    <t>number bits</t>
  </si>
  <si>
    <t>status</t>
  </si>
  <si>
    <t>a value of 0</t>
  </si>
  <si>
    <t>to 1</t>
  </si>
  <si>
    <t>Inner memory</t>
  </si>
  <si>
    <t>No settings</t>
  </si>
  <si>
    <t>Settings OK</t>
  </si>
  <si>
    <t>External Memory</t>
  </si>
  <si>
    <t>issue</t>
  </si>
  <si>
    <t>OK</t>
  </si>
  <si>
    <t>Real Time Clock</t>
  </si>
  <si>
    <t>powered modem</t>
  </si>
  <si>
    <t>off</t>
  </si>
  <si>
    <t>included</t>
  </si>
  <si>
    <t>modem status</t>
  </si>
  <si>
    <t>no</t>
  </si>
  <si>
    <t>GSM AT command</t>
  </si>
  <si>
    <t>not responding</t>
  </si>
  <si>
    <t>SIM card</t>
  </si>
  <si>
    <t>not inserted</t>
  </si>
  <si>
    <t>SIM PIN</t>
  </si>
  <si>
    <t>activated</t>
  </si>
  <si>
    <t>not activated</t>
  </si>
  <si>
    <t>PIN check</t>
  </si>
  <si>
    <t>power module GPS / Glonass</t>
  </si>
  <si>
    <t>Module GPS / Glonass</t>
  </si>
  <si>
    <t>NO_NMEA</t>
  </si>
  <si>
    <t>NMEA OK</t>
  </si>
  <si>
    <t>Motion Sensor</t>
  </si>
  <si>
    <t>not fixed</t>
  </si>
  <si>
    <t>speed NMEA</t>
  </si>
  <si>
    <t>9600 - 0 (mstar) 115 200 - 1 (navia)</t>
  </si>
  <si>
    <t>Number current SIM Card</t>
  </si>
  <si>
    <t>0- primary, 1 - secondary</t>
  </si>
  <si>
    <t>SIM card 2</t>
  </si>
  <si>
    <t>SIM PIN 2</t>
  </si>
  <si>
    <t>PIN Check 2</t>
  </si>
  <si>
    <t>Table 5. Virtual sensors (vs_)</t>
  </si>
  <si>
    <t>Number</t>
  </si>
  <si>
    <t>number of packet (only for L1)</t>
  </si>
  <si>
    <t>move sensor status (only for L1)</t>
  </si>
  <si>
    <t>EcoDrive</t>
  </si>
  <si>
    <t>acceleration thresholds</t>
  </si>
  <si>
    <t>bits[12:15] - Exceeding the threshold of vertical accelerations
bits[8:11] - Exceeding the threshold of lateral accelerations
bits[4:7] - Exceeding the threshold during deceleration
bits[0:3] - Exceeding the threshold during acceleration</t>
  </si>
  <si>
    <t>threshold exceed duration, ms</t>
  </si>
  <si>
    <t>EcoDrive (only for L1 and A-Series)</t>
  </si>
  <si>
    <t>acceleration thresholds and events</t>
  </si>
  <si>
    <t>bit 6 - Navigation Antenna Orientation Error
bit 5 - Exceeding the permissible deviation of the tracker axes 
bit 4 - Exceeding the threshold of permissible speed 
bit 3 - Exceeding the threshold of vertical accelerations 
bit 2 - Exceeding the threshold of lateral accelerations 
bit 1 - Exceeding the threshold during deceleration 
bit 0 - Exceeding the threshold during acceleration</t>
  </si>
  <si>
    <t>wireless relays online bits</t>
  </si>
  <si>
    <t>1 - online, 0 - offline</t>
  </si>
  <si>
    <t>wireless relays state bits</t>
  </si>
  <si>
    <t>1 - activated, 0 - deactivated</t>
  </si>
  <si>
    <t>iQFreeze</t>
  </si>
  <si>
    <t>Регистр для чтения: 0x0500   (статусы)</t>
  </si>
  <si>
    <t>0        1        2        3        4        5        6        7        8        9        10        11        12        13        14        15
NOCONNECT        ADC1ERR        ADC2ERR        ADC3ERR        ADC4ERR        ADC5ERR        ADC6ERR        TIMEERR        HSERR        DR        DR2        DR3        IN1        IN2        0        0</t>
  </si>
  <si>
    <t>ADC1	Данные с аналогового датчика температуры 1</t>
  </si>
  <si>
    <t>temperature is transmitted to the server multiplied by 100 (to convert the decimal value into an integer), for example 28.33 to 2833.
For the 0 (zero) degree takes a value of 50,000, but when unpacking the values ​​from the device you need to take 50,000, for example:
1. convert -26.33 -2633, add 50000 = 47367 pass on the server subtract 50000, and again obtain -2633
2. 16.55 transform 1655, we add the 50,000 = 51655 pass on the server subtract 50000, and again obtain 1655</t>
  </si>
  <si>
    <t>ADC2       Данные с аналогового датчика температуры 2</t>
  </si>
  <si>
    <t>ADC3       Данные с аналогового датчика температуры 3</t>
  </si>
  <si>
    <t>ADC4        Данные с аналогового датчика температуры 4</t>
  </si>
  <si>
    <t>ADC5        Данные с аналогового датчика температуры 5</t>
  </si>
  <si>
    <t>ADC6        Данные с аналогового датчика температуры 6</t>
  </si>
  <si>
    <t>IrmaMatrix sensors errors [irma_x_err]</t>
  </si>
  <si>
    <t>3 Bytes value. 3 bits per sensor. 8 sensor max. Sensor numeration starts from 1
0 - no error
1 - sensor not found
2 - sabotage</t>
  </si>
  <si>
    <t>Examle С8 28 20 10 00
means sabotage on sensor 1 and sensor 3 not found</t>
  </si>
  <si>
    <t>IrmaMatrix sensors counts[irma_x_in] and [irma_x_out]</t>
  </si>
  <si>
    <t>3 Bytes value.
LSByte in value - sensor ID - "x"
next byte - "irma_x_in" value
MSByte of value - "irma_x_out value</t>
  </si>
  <si>
    <t xml:space="preserve">Example С8 29 03 01 04
means 
irma_3_in = 1
irma_3_out = 4
</t>
  </si>
  <si>
    <t>KDM_DM1 density [kdm1.dens]</t>
  </si>
  <si>
    <t>3 Bytes value.
density</t>
  </si>
  <si>
    <t>KDM_DM1 width [kdm1.width]</t>
  </si>
  <si>
    <t>3 Bytes value.
width</t>
  </si>
  <si>
    <t>KDM_DM1 bit fields [kdm1.bits]</t>
  </si>
  <si>
    <t>3 Bytes value.
LSByte in value - middle_mode.bits
next byte - front_mode_bits
MSByte of value - bunker_options.bits</t>
  </si>
  <si>
    <t>Статус системы обхода иммо</t>
  </si>
  <si>
    <t>52[0] -   Состояние автомобиля 0
биты 0.1 Состояние ЦЗ (00 — нет информации; 01 — закрыт; 10 — открыт; 11 — закрыт и поставлен на охрану)
бит 2 левая передняя дверь открыта (1 - открыта, 0 - закрыта)
бит 3 правая передняя дверь открыта (1 - открыта, 0 - закрыта)
бит 4 левая задняя дверь открыта (1 - открыта, 0 - закрыта)
бит 5 правая задняя дверь открыта (1 - открыта, 0 - закрыта)
бит 6 багажник открыт (1 - открыт, 0 - закрыт)
бит 7 капот открыт (1 - открыт, 0 - закрыт)
52[1] - Состояние автомобиля 1
бит 0 габариты включены (1 - включены, 0 - выключены). Статус передается при поддержке прошивкой модуля автозапуска
бит 1 зажигание включено (ключем или системой автозапуска)
бит 2 двигатель работает (1 - работает, 0 - остановлен)
бит 3 тип трансмиссии (1 - АКПП/робот, 0 - МКПП)
бит 4 трансмиссия не готова к автозапуску (1 - есть, 0 - нет). В зависимости от типа трансмиссии:
• АКПП — трансмиссия не стоит на паркинге;
• робот — трансмиссия не стоит на паркинге;
• МКПП — логическая нейтраль не продена
бит 5 ручной тормоз не готов к автозапуску (1 — опущен — нет готовности, 0 — поднят — готовность есть). В зависимости от типа трансмиссии:
• АКПП — ручной тормоз не поднят;
• робот — ручной тормоз не поднят;
• МКПП — ручной тормоз не поднят при прохождении логической нейтрали
бит 6 ДХО включены (1 - да, 0 - нет). Статус передается при поддержке прошивкой модуля автозапуска
бит 7 Ближний свет включен (1 - да, 0 - нет). Статус передается при поддержке прошивкой модуля автозапуска
52[2] - Состояние автомобиля 2
бит 0 иммобилизация двигателя активна (1 — активна, 0 — не активна)
бит 1 режим Valet включен (1 — включен, 0 - выключен)
бит 2 ремни безопасности не пристегнуты (1 - да, 0 - нет). Статус
передается при поддержке прошивкой модуля автозапуска
бит 3 стекла опущены (1 - да, 0 - нет). Статус передается при поддержке
прошивкой модуля автозапуска
бит 4 свет в салоне горит (1 - да, 0 - нет). Статус передается при
поддержке прошивкой модуля автозапуска
бит 5 мало омывающей жидкости (1 - да, 0 - нет). Статус передается при
поддержке прошивкой модуля автозапуска
бит 6 выход управления 1 (1 - включен, 0 - выключен)
бит 7 выход управления 2 (1 - включен, 0 - выключен)</t>
  </si>
  <si>
    <t>53[0] - Состояние автомобиля 3 — Причина отмены автозапуска. Флаг
появляется после получения модулем команды на запрос
автозапуска в случае, если он не может быть осуществлен
бит 0  - ошибка трансмиссии (1 — есть, 0 - нет)
бит 1 - открытие двери (1 — есть, 0 - нет)
бит 2 - двигатель уже работает (1 — есть, 0 - нет)
бит 3 - капот открыт (1 — есть, 0 - нет)
бит 4 - обход иммобилайзера не обучен (1 — есть, 0 - нет)
бит 5 - была мягкая посадка (1 — есть, 0 - нет)
бит 6 - срабатывание сигнализации (1 — есть, 0 - нет)</t>
  </si>
  <si>
    <t>54[0] - Состояние   системы   обхода   иммо   в   штатном   режиме   работы сообщения 
Данные буферизируются для исключения потерь при активной смене состояний
0x00 автозапуск запрещен (невозможен)
0x01 автозапуск разрешен, двигатель не работает
0x02 идет процесс автозапуска
0x03 двигатель запущен в результате автозапуска
0x04 двигатель не запустился после всех попыток
0x05 процесс автозапуска останавливается двигатель остановлен
0x06 ошибка автозапуска, двигатель был запущен, но остановился
0x07 выполняется прохождение логической нейтрали
0xFF режим бутлоадера
54[1] - Причина   возникновения   тревоги ообщения 
Устанавливается при
возникновении тревожного события. Сбрасывается после
окончания тревожного оповещения на автомобиле.
бит 0 акселерометр (1 - срабатывание, 0 - нет срабатывания)
бит 1 зажигание включено (1 - включено, 2 - выключено)
бит 2 левая передняя дверь открыта (1 - открыта, 0 - закрыта)
бит 3 правая передняя дверь открыта (1 - открыта, 0 - закрыта)
бит 4 левая задняя дверь открыта (1 - открыта, 0 - закрыта)
бит 5 правая задняя дверь открыта (1 - открыта, 0 - закрыта)
бит 6 багажник открыт (1 - открыт, 0 - закрыт)
бит 7 капот открыт (1 - открыт, 0 - закрыт)</t>
  </si>
  <si>
    <t>55[0] - 55[1] - Формат Low-Endian. Оставшееся время работы двигателя по таймеру автозапуска. Данные отправляются при запуске процедуры автозапуска, повторная отправка осуществляется с дискретизацией 8сек. В случае запуска двигателя без таймера — значение 0xFFFF.</t>
  </si>
  <si>
    <t>Значение эконометра (can шина)</t>
  </si>
  <si>
    <t>DI (tacho card number) for driver 1 first part</t>
  </si>
  <si>
    <t>For example driver ID (DI) is string "RU 0012345678901234". To pack this string, we divide it into two parts - alphabetic and numeric. The alphabetic takes 3 bytes (the last byte is a space, so it is discarded), and the numeric 16 characters (digits). The numerical part is too large, so we divide it into two parts. The first 9 digits ( from left side) are packed in 4 bytes, the remaining 7 (right side) digits are packed in 3 bytes of type integer.
Totaly we got 2 + 4 + 3 = 9 bytes in sequence. Let's divide them between three virtual subtags for each driver. Attention when forming the initial string, you need to add the space to the alphabetic part and take filling with zeros to the required number of digits for each of the numerical parts.
!!!If there is no card in card reader of tachograph device will send only first part with zero value!!!</t>
  </si>
  <si>
    <t>B4 3C 52 55 87</t>
  </si>
  <si>
    <t xml:space="preserve">52 55 = "RU" add " " (space) after </t>
  </si>
  <si>
    <t>DI (tacho card number) for driver 1 second part \ битовая маска для SKT</t>
  </si>
  <si>
    <t>B4 3D D6 12 00</t>
  </si>
  <si>
    <t>Divide first part value (0x875552) by 65536, multiply second part (0x12d6) by 256 and add results together to get left 9 digits card number
(0x875552&gt;&gt;16) + (0x0012d6 &lt;&lt; 8) =  0x12d687 = 001234567 (9digits left part filled zeroes)</t>
  </si>
  <si>
    <t>DI (tacho card number) for driver 1 third part  . \  заряд в % для SKT</t>
  </si>
  <si>
    <t>B4 3E 72 D2 87</t>
  </si>
  <si>
    <t>0x87d272 = 8901234 (7 digits right part filling zeroes)
And finnaly we have got string RU_0012345678901234</t>
  </si>
  <si>
    <t>DI (tacho card number) for driver 2 first part</t>
  </si>
  <si>
    <t>DI (tacho card number) for driver 2 second part</t>
  </si>
  <si>
    <t>DI (tacho card number) for driver 2 third part</t>
  </si>
  <si>
    <t>Tachograph TCO1 FMS</t>
  </si>
  <si>
    <t>B4 42 11 22 33</t>
  </si>
  <si>
    <r>
      <rPr>
        <b/>
        <color rgb="FF000000"/>
        <sz val="10.0"/>
      </rPr>
      <t xml:space="preserve">In example received value is 0x332211
LSByte 0x11 is Data Byte1, 0x22 - Data Byte2 and 0x33 (MSByte) - Data Byte 3
</t>
    </r>
    <r>
      <rPr>
        <b/>
        <i/>
        <color rgb="FF000000"/>
        <sz val="10.0"/>
      </rPr>
      <t>Data Byte 1</t>
    </r>
    <r>
      <rPr>
        <b/>
        <color rgb="FF000000"/>
        <sz val="10.0"/>
      </rPr>
      <t xml:space="preserve">:
bits[6:7] - Vehicle motion (00 = Vehicle motion not detected, 01 = vehicle motion detected)
bits[3:5] - Driv. 2 working state (000 = Rest, 001 = Driver available, 010 = Work, 011 = Drive, 110 = Error, 111 = not available
bits[0:2] - Driv. 1 working state (000 = Rest, 001 = Driver available, 010 = Work, 011 = Drive, 110 = Error, 111 = not available
</t>
    </r>
    <r>
      <rPr>
        <b/>
        <i/>
        <color rgb="FF000000"/>
        <sz val="10.0"/>
      </rPr>
      <t>Data Byte 2</t>
    </r>
    <r>
      <rPr>
        <b/>
        <color rgb="FF000000"/>
        <sz val="10.0"/>
      </rPr>
      <t>:
bits[6:7] - Vehicle Overspeed (00 = No overspeed, 01 = Overspeed)
bits[4:5] - Driver 1 card (00 = Card not present, 01= Card present)
bits[0:3] - Driv. 1 time rel states (0000 = normal,  0001 = 15 min bef. 4 ½ h, 0010 = 4 ½ h reached, 0011 = 15 min bef. 9 h, 0100 = 9 h reached, 0101 = 15 min bef. 16 h, 0110 = 16h reached, 1110 = Error, 1111 = not available)
Data Byte 3:
bits[6:7] - don`t care
bits[4:5] - Driver 2 card (00 = Card not present, 01= Card present)
bits[0:3] - Driv. 2 time rel states (0000 = normal,  0001 = 15 min bef. 4 ½ h, 0010 = 4 ½ h reached, 0011 = 15 min bef. 9 h, 0100 = 9 h reached, 0101 = 15 min bef. 16 h, 0110 = 16h reached, 1110 = Error, 1111 = not available)</t>
    </r>
  </si>
  <si>
    <t>Tachograph  DRIVER1_DRIVE_TIME</t>
  </si>
  <si>
    <t>minutes</t>
  </si>
  <si>
    <t>Tachograph  DRIVER2_DRIVE_TIME</t>
  </si>
  <si>
    <t>Tachograph  DRIVER1_TOTAL_DRIVE_TIME</t>
  </si>
  <si>
    <t>Tachograph  DRIVER2_TOTAL_DRIVE_TIME</t>
  </si>
  <si>
    <t>Tachograph  DRIVER1_REST_TIME</t>
  </si>
  <si>
    <t>Tachograph  DRIVER2_REST_TIME</t>
  </si>
  <si>
    <t>Tachograph  DRIVER1_ACT_TIME</t>
  </si>
  <si>
    <t>Tachograph  DRIVER2_ACT_TIME</t>
  </si>
  <si>
    <t>75-79</t>
  </si>
  <si>
    <t>Reserved for Tachograph</t>
  </si>
  <si>
    <t>TPMASTER</t>
  </si>
  <si>
    <t>tpms[N].p - давление
tpms[N].w - предупреждения:
tpms[N].w.level - 3 бита по уровню
tpms[N].w.t - по температуре
tpms[N].w.f - быстро спукает колесо
tpms[N].w.e - общая ошибка датчика</t>
  </si>
  <si>
    <t>B4 50 11 22 33
50 - virtual subtag number
11 - sensor warnings (W)
22 - sensor pressure (P)
33 - wheel number (N)</t>
  </si>
  <si>
    <t xml:space="preserve">Pressure calculation =Р*5.5-101.3 КРА If no data, then byte will be 0хFF
Warnings byte (bits number from 0:
[0:2]bits = 000 - normal, 001 low pressure 1 level, 010 low  pressure 2 level, 011 low pressure 3 level , 100 - hi pressure
3 bit = 0 - normal temperature, 1 - hi temperature
4 bit = 0 - normal, 1 - pressure goes low fast
5 bit = 0 normal, 1 - sensor error
</t>
  </si>
  <si>
    <t>SPN183_FUEL_RATE</t>
  </si>
  <si>
    <t>*10 Litres</t>
  </si>
  <si>
    <t>SPN100_ENGINE_OIL_PRESSURE</t>
  </si>
  <si>
    <t>kPa</t>
  </si>
  <si>
    <t>СДРМ</t>
  </si>
  <si>
    <t>packet id</t>
  </si>
  <si>
    <t>IN 0 - вход по минусу или OUT 0 - выход по минусу (блокировка)</t>
  </si>
  <si>
    <t xml:space="preserve">IN 1 - вход по плюсу (зажигание) </t>
  </si>
  <si>
    <t>the state of the GSM modem (gsm_st)</t>
  </si>
  <si>
    <t>the state of GPS / Glonass module (nav_st)</t>
  </si>
  <si>
    <t>Motion Sensor (mw)</t>
  </si>
  <si>
    <t>SIM card / SIM-chip (sim_t)</t>
  </si>
  <si>
    <t>the presence of a SIM card / SIM-chip (sim_in)</t>
  </si>
  <si>
    <t>Backup battery (Internal) voltage (5 bits)</t>
  </si>
  <si>
    <t>Internal voltage divided by 150
example: 0x1B = 27 * 150 = 4050 mV
max. 4800 mV</t>
  </si>
  <si>
    <t>External voltage (messages Wialon pwr_ext)</t>
  </si>
  <si>
    <t>Версия</t>
  </si>
  <si>
    <t>Функционал</t>
  </si>
  <si>
    <t>Ошибки</t>
  </si>
  <si>
    <t>Дополнительно</t>
  </si>
  <si>
    <t>Релиз</t>
  </si>
  <si>
    <t>0.71</t>
  </si>
  <si>
    <t>Прошивка с поддержкой фотокамеры ZM по RS485 и изменением качества фото по таймеру</t>
  </si>
  <si>
    <t>Настройка качества произвдится параметром #24=x,y
Команда 123456*SETP*#24=x,y
x - интервал фото в минутах. Если равно 0, то фото по таймеру отключены
y - качество фото: 0 - 160х120, 1 - 320х240, 2 - 640х480</t>
  </si>
  <si>
    <t>0.62</t>
  </si>
  <si>
    <t>добавлен кан в режиме штрих
удален кан в режиме дут</t>
  </si>
  <si>
    <t>0.61</t>
  </si>
  <si>
    <t>0.60</t>
  </si>
  <si>
    <t>0.59</t>
  </si>
  <si>
    <t>0.58</t>
  </si>
  <si>
    <t>0.57</t>
  </si>
  <si>
    <t>0.56</t>
  </si>
  <si>
    <t>интегрирован тахограф VDO (только выгрузка ddd файлов)
добавлена передача ускорений со встроенного акселерометра</t>
  </si>
  <si>
    <t>Для включения обмена с VDO по RS232 отправить команду
123456*SETP*#11=38
Подключение к VDO по RS232 производится на лицевой панели тахографа
Выгрузка ddd файла производится по команде (выбор картовода производится автоматически)
123456*SERV*32.0</t>
  </si>
  <si>
    <t>0.55</t>
  </si>
  <si>
    <t>0.54</t>
  </si>
  <si>
    <t>0.53</t>
  </si>
  <si>
    <t>0.52</t>
  </si>
  <si>
    <t>0.51</t>
  </si>
  <si>
    <t>0.50</t>
  </si>
  <si>
    <t>глубина внутренних буферов сглаживания аналоговых, частотных входов и цифровых дутов увеличена с 8 до 16
изменен алгоритм отработки входящих смс
изменен алгоритм передачи серийного номера тахографа Штрих (передается всегда, когда тахограф на связи)</t>
  </si>
  <si>
    <t>Напоминание: включени/выключение сглаживания осуществляется установкой/снятием галочки "Фильтровать значения датчиков" в веб-конфигураторе</t>
  </si>
  <si>
    <t>0.49</t>
  </si>
  <si>
    <t>исправлена ошибка формирования инфо-сообщений с кан-модуля
исправлена ошибка рассчета контрольной суммы датчика 
СДВ</t>
  </si>
  <si>
    <t>0.48</t>
  </si>
  <si>
    <t>интегрированы тахографы Atol Drive 5 (подключение с доп. платой Tacho) и Atol Smart (подключение по RS232)
интегрирована сеялка УСКВ (подключение по RS232)
интегрирован термогигрометр ИВТМ (подключение по RS485)
интегрирован датчик давления СДВ (подключение по RS485)
добавлена возможность передачи серийного номера тахографа Штрих (передается один раз при авторизации трекера)</t>
  </si>
  <si>
    <t>Команда 123456*SETP*#11=18 - включает обмен с тахографом Atol Smart
Команда 123456*SETP*#11=,,,18 - включает обмен с тахографом Atol Drive 5 (тредуется доп. плата Tacho)
Команда 123456*SETP*#11=36 - включает обмен с УСКВ
Команда 123456*SETP*#11=,35 - включает обмен с ИВТМ
Команда 123456*SETP*#11=,34 - включает обмен с СДВ
Передача номера тахографа - в тэгах 108 и 109</t>
  </si>
  <si>
    <t>0.47</t>
  </si>
  <si>
    <t>интегрирована установка Варяг (подключение по RS232)
интегрирована установка GeoSys (подключение по RS232)
интегрирована установка Кедр (подключение по RS232)</t>
  </si>
  <si>
    <t>Команда 123456*SETP*#11=32 - включает обмен с Варяг
Команда 123456*SETP*#11=33 - включает обмен с GeoSys
Команда 123456*SETP*#11=31 - включает обмен с Кедр</t>
  </si>
  <si>
    <t>0.46</t>
  </si>
  <si>
    <t>тестовая</t>
  </si>
  <si>
    <t>0.45</t>
  </si>
  <si>
    <t>перезагрузка фотокамеры по питанию в случае ошибки (при питании от 3V3_EXT)
поддержка считывателя Matrix Net 2 (Iron Logic)
Matrix Net 3 не поддерживается</t>
  </si>
  <si>
    <t>0.44</t>
  </si>
  <si>
    <t>добавлен режим деактивации выхода при поднесении ключа Dallas
добавлена группа настроек трека при работе в роуминге</t>
  </si>
  <si>
    <t>исправлена ошибка, при которой код ключа идетнификации передавался не с первого раза</t>
  </si>
  <si>
    <t>в режиме деактивации по ключу выход активируется после выключения зажигания. при поднесении любого ключа выход деактивируется, а код ключа передается на сервер. повторная активация происходит либо при выключении зажигания, либо через 30 секунд после поднесения ключа, если зажигание осталось выключенным в течение этого времени.
настройка трека проихводится командой 123456*SETP*#5=x,y,z,k,X,Y,Z,K
x - условие по расстоянию в домашней сети, Х - в роуминге
y - словие по углу в домашней сети, Y - в роуминге
z - условие по изменению скорости в домашней сети, Z - в роуминге
k - условие по времени в домашней сети, K - в роуминге
для переключения группы настроек трека в параметры роуминга трекер должен зарегистрироваться в роуминге (+CREG: 5), а также работа в роуминге должна быть разрешена</t>
  </si>
  <si>
    <t>тест</t>
  </si>
  <si>
    <t>0.43</t>
  </si>
  <si>
    <t>удаление всех термодатчиков
hdop с модуля навигации</t>
  </si>
  <si>
    <t>исправлена ошибка потери EOT при обновлении Arnavi CAN</t>
  </si>
  <si>
    <t>для удаления всех термодатчиков отправить 123456*SERV*37 (без аргументов)
для удаления одного термодатчика отправить 123456*SERV*37.х
х = 0..7 - адрес термодатчика в таблице термодатчиков
для передачи hdop на сервер мониторинга (тэг 151) в веб-конфигураторе надо поставить соответствующую галочку в структуре пакета</t>
  </si>
  <si>
    <t>0.42</t>
  </si>
  <si>
    <t>при поднесении ключа идентификации код передается сразу же, далее - в темпе формирования сообщений
добавлена передача сообщения при нулевой скорости (info_msg=316)
добавлено включение/выключение фильтрации данных с датчиков в веб-конфигураторе (все дуты, аналог, частота)
добавлена передача hdop</t>
  </si>
  <si>
    <t>0.41</t>
  </si>
  <si>
    <t>изменен порядок следования байт при передаче данных от g-sensor</t>
  </si>
  <si>
    <t>0.40</t>
  </si>
  <si>
    <t>добавлено переключение сим-карт при невозможности активирования GPRS сессии и разрывах GPRS сессии (наблюдается при заблокированной услуге GPRS)</t>
  </si>
  <si>
    <t>0.39</t>
  </si>
  <si>
    <t>добавлено 4 дополнительных фильтра для дутов с адресами 1-4 с настраиваемой глубиной фильтрации от 0 (доп. фильтр выключен) до 50 (максимальное усреднение)</t>
  </si>
  <si>
    <t>управление доп. фильтрами дутов производится командой
123456*SETP*#19=x,y,z,k
x = 0...50 - глубина фильтрации дута с адресом 1
y = 0...50 - глубина фильтрации дута с адресом 2
z = 0...50 - глубина фильтрации дута с адресом 3
k = 0...50 - глубина фильтрации дута с адресом 4</t>
  </si>
  <si>
    <t>0.38</t>
  </si>
  <si>
    <t>изменен порядок инициализации модема, из-за которой модемы из новой партии отключались по ошибке OVER VOLTAGE (имеет смысл только при первичном прогоне блоков после получения с монтажа)</t>
  </si>
  <si>
    <t>0.37</t>
  </si>
  <si>
    <t>0.36</t>
  </si>
  <si>
    <t>оптимизирован алгоритм приема СМС
данные с канлога приходят даже при поврежденной/неподключенной цепи RS232 TX трекера (при этом теряется возможность изменить и, в большинстве случаев, узнать номер установленной программы)</t>
  </si>
  <si>
    <t>0.35</t>
  </si>
  <si>
    <t>обновлен обработчик навигационных данных
пароль wi-fi виден со всеми настройками
изменены коды режимов шины 1-WIRE
изменен формат передачи поправочных коэффициентов датчика g-sensor на веб-конфигуратор</t>
  </si>
  <si>
    <t>исправлена ошибка инициализации выходов в режиме 1
максимальное напряжение в цепи 1-WIRE в режиме дискретного входа не должно превышать 4.0В
управление режимом 1-WIRE:
123456*SETP*#11=,,,30 - активировать режим 1-WIRE
123456*SETP*#11=,,,29 - активировать режим дискретного входа
младшая часть ICCID дополняется нулями справа</t>
  </si>
  <si>
    <t>0.34</t>
  </si>
  <si>
    <t>изменен алгоритм определения начала движения / остановки</t>
  </si>
  <si>
    <t>ошибка работы выходов в режиме 1</t>
  </si>
  <si>
    <t>0.33</t>
  </si>
  <si>
    <t>поддержка тахографа Штрих (только с доп. платой Arnavi Tacho):
- передача пробега и скорости по тахографу
- передача статусов водителя/напарника
- передача номеров карт в картоводах (водитель, мастер, предприятие - проверены, контроллер - не проверено)
- выгрузка ddd файлов с карт водителя/напарника
передача сообщения при включении/отключении внешнего питания</t>
  </si>
  <si>
    <t>ошибка работы выходов в режиме 1
замечания при определении начала движения/остановки</t>
  </si>
  <si>
    <t xml:space="preserve">Выгрузка ddd файла производится по команде
123456*SERV*32.0 (или произвольное сообщение 2000) - картовод водителя
123456*SERV*32.1 (или произвольное сообщение 2001) - картовод напарника
</t>
  </si>
  <si>
    <t>0.32</t>
  </si>
  <si>
    <t>отключено событие 517 (таймаут передачи на сервер)</t>
  </si>
  <si>
    <t>исправлена ошибка передачи информационных сообщений 1210 - 1213 с канлога</t>
  </si>
  <si>
    <t>0.31</t>
  </si>
  <si>
    <t>передача информационных сообщений (info_msg)
возможность использовать цепь 1-WIRE в качестве дискретного входа. Состояние передается в параметре ss1: 0-не активен, 1-активен(цепь замкнута на минус)</t>
  </si>
  <si>
    <t>ошибка работы выходов в режиме 1
ошибка передачи информационных сообщений 1210 - 1213 с канлога</t>
  </si>
  <si>
    <t>максимальное напряжение в цепи 1-WIRE в режиме дискретного входа не должно превышать 4.0В
управление режимом 1-WIRE:
123456*SETP*#11=,,,0 - активировать режим 1-WIRE
123456*SETP*#11=,,,4 - активировать режим дискретного входа</t>
  </si>
  <si>
    <t>0.29</t>
  </si>
  <si>
    <t>добавлен режим дискретного входа IN4, IN5 (актуально только на Арнави 4.1 с платой расширения входов)
поддержка датчика вскрытия (состояние передается в параметре ss0: 0-корпус закрыт, 1-открыт)</t>
  </si>
  <si>
    <t>исправлена ошибка работы RS232, когда остальные цифровые входы не использовались
отключена проверка диапазона напряжения питания модема
отключен сон при работе на конфигуратор</t>
  </si>
  <si>
    <t>0.28</t>
  </si>
  <si>
    <t>изменен алгоритм опроса платы стиля вождения
добавлена настройка параметров платы стиля вождения
добавлена пересылка регистрового файла платы стиля вождения на сервер и обратно
повышена стабильность работы при плохом gprs канале</t>
  </si>
  <si>
    <t>ошибка работы выходов в режиме 1
ошибка работы RS232, когда остальные цифровые входы не используются</t>
  </si>
  <si>
    <t>Настройка параметров стиля вождения доступна по команде 123456*SETP*#18=x,y
х - коэффициент агрессивности (0..10)
у - класс TC</t>
  </si>
  <si>
    <t>0.27</t>
  </si>
  <si>
    <t>КУСС работает вместе с ДУТами (режим LLS)
Возвращены 4 знаковые ПИН коды (старый формат) при работе с конфигуратором</t>
  </si>
  <si>
    <t>ошибка работы RS232, когда остальные цифровые входы не используются</t>
  </si>
  <si>
    <t>Исправлена ошибка обновления ПО по wi-fi</t>
  </si>
  <si>
    <t>0.26</t>
  </si>
  <si>
    <t>поддержка модуля WiFi
поддержка установки ВГС
поддержка платы расширения Arnavi_IO
отключение одометра по спутникам снятием галочки "Полный пробег транспортного средства" в разделе "Структура пакета"-&gt;"Данные с CAN"</t>
  </si>
  <si>
    <t>Не работает обновление ПО по wi-fi
ошибка работы RS232, когда остальные цифровые входы не используются</t>
  </si>
  <si>
    <t>Для работы с ВГС отправить трекеру команду 123456*SETP*#11=,28
Доступен wifi на модуле А6501. Для активации отправить команду 123456*SETP*#11=,,27#17=&lt;AP_NAME&gt;,&lt;AP_PASSWORD&gt;
При запросе настроек командой GETP в параметре #17 будет возвращено только имя точки доступа, пароль не отобразится
AP_NAME - Имя точки доступа, к которой следует подключиться. Параметр чувствителен к регистру, т.е. точки доступа "AP" и "Ap" - разные
AP_PASSWORD - пароль точки доступа
Исправлена ошибка "дребезга" зажигания при работе по протоколу CAN-LOG</t>
  </si>
  <si>
    <t>0.25</t>
  </si>
  <si>
    <t>Виртуальные выходы</t>
  </si>
  <si>
    <t>Для управления виртуальными выходами предусмотрена отдельная TCP команда 27ххуу, где хх - номер виртуального выхода (02 или 03), уу - новое состояние (00 или 01). Состояние виртуальных выходов запоминается в энергонезависимой памяти и восстанавливается после перезагрузки трекера.
Эту же команду можно отправить в виде текста (через отправку сообщений водителю на Виалоне или СМС). Формат: 123456*SERV*39.x.y  ,где 123456 - пароль трекера, х - номер виртуального выхода, у - новое состояние. 
Например, 123456*SERV*39.2.1</t>
  </si>
  <si>
    <t>0.24</t>
  </si>
  <si>
    <t>удаленное обновление переферии - плата арнави кан
режим индикации - дублирование индикатора работы (синий светодиод) на выходе устройства</t>
  </si>
  <si>
    <t xml:space="preserve">для обновления ПО платы кан необходимо отправить TCP команду 010580
</t>
  </si>
  <si>
    <t>0.23</t>
  </si>
  <si>
    <t>кнопка вызова 
поддержка кусс
расширен телефонный справочник до 5 номеров (ранее было только 3)</t>
  </si>
  <si>
    <t>кнопка вызова - режим работы дискретного входа, при срабатывании которого будет произведен дозвон до номера прописанного в телефонном справочнике (IN0 - звонит по номеру из первой ячейки, IN1-по номеру из второй ячейки и т.д.)
КУСС - контроллер устройства съема сигнала УСС</t>
  </si>
  <si>
    <t>0.22</t>
  </si>
  <si>
    <t>добавлена поддержка считывателя карт Matrix Net III,
добавление порогов срабатывания входов по плюсу (IN2 и IN3)
добавлен режим дискретного входа IN6, IN7 (актуально только с платой расширения входов ARNAVI_IO)</t>
  </si>
  <si>
    <t>для выставления порогов срабатывания нужно отправить команду:
123456*SETP*#16=in2,in3
где in2, in3 - напряжения в миливольтах на соотвествующих входах
исправлен формат телефона на новых модемах</t>
  </si>
  <si>
    <t>The overall structure of the message - in accordance with the protocol DirectIP (see. Section 4.2.1 of the document http://www.satcom.ws/upload/iblock/757/IRDM_IridiumSBDService_V3_DEVGUIDE_9Mar2012.pdf)</t>
  </si>
  <si>
    <t>Protocol Version</t>
  </si>
  <si>
    <t>The total length of the message</t>
  </si>
  <si>
    <t>Inormatsionnye elements DirectIP</t>
  </si>
  <si>
    <t>The general structure of an information element DirectIP (see. Section 4.3 of the document http://www.satcom.ws/upload/iblock/757/IRDM_IridiumSBDService_V3_DEVGUIDE_9Mar2012.pdf)</t>
  </si>
  <si>
    <t>Element ID</t>
  </si>
  <si>
    <t>The length of the element</t>
  </si>
  <si>
    <t>Content Information Element</t>
  </si>
  <si>
    <t>Data on the monitoring of the vehicle are the contents of the information element identifier 0x02 (MO Payload IEI)</t>
  </si>
  <si>
    <t>Data on the monitoring of the vehicle have the following structure (byte order - Little Endian):</t>
  </si>
  <si>
    <t>UnixTime</t>
  </si>
  <si>
    <t>BF4</t>
  </si>
  <si>
    <t>BF2</t>
  </si>
  <si>
    <t>BF1</t>
  </si>
  <si>
    <t>DATA_BF4</t>
  </si>
  <si>
    <t>DATA_BF2</t>
  </si>
  <si>
    <t>DATA_BF1</t>
  </si>
  <si>
    <t>1 byte</t>
  </si>
  <si>
    <t>Fields UnixTime, BF4, BF2, BF1 always passed, the structure fields DATA_BF4, DATA_BF2, DATA_BF1 depends on the contents of fields BF4, BF2, BF1</t>
  </si>
  <si>
    <t>Fields BF4, BF2, BF1 is a set of bits. For every bit fixed sign of transmitting a specific parameter in the fields DATA_BF4, DATA_BF2, DATA_BF1. If the bit field set to 1 BFx - DATA_BFx field contains the specified parameter, or - does not contain</t>
  </si>
  <si>
    <t>Number bits BFx</t>
  </si>
  <si>
    <t>The name of the associated parameter</t>
  </si>
  <si>
    <t>Sense</t>
  </si>
  <si>
    <t>Size</t>
  </si>
  <si>
    <t>Comment</t>
  </si>
  <si>
    <t>Notes</t>
  </si>
  <si>
    <t>speed</t>
  </si>
  <si>
    <t>0x05 = 5 * 1.852 = 9.26 km / h above the speed in knots</t>
  </si>
  <si>
    <t>satellites</t>
  </si>
  <si>
    <t>0x12 = 18 - number of satellites</t>
  </si>
  <si>
    <t>height</t>
  </si>
  <si>
    <t>0x19 = 25 * 10 = 250 m altitude in meters / 10</t>
  </si>
  <si>
    <t>course</t>
  </si>
  <si>
    <t>0x11 = 17 * 2 = rate multiplied by 2</t>
  </si>
  <si>
    <t>I/O</t>
  </si>
  <si>
    <t xml:space="preserve">PIN0  </t>
  </si>
  <si>
    <t>1 bit (0)</t>
  </si>
  <si>
    <t>пример: 0x0E = 
0 - IN0 = 0</t>
  </si>
  <si>
    <t>PIN1</t>
  </si>
  <si>
    <t>1 bit (1)</t>
  </si>
  <si>
    <t>1 - IN1 = 1</t>
  </si>
  <si>
    <t>PIN2</t>
  </si>
  <si>
    <t>1 bit (2)</t>
  </si>
  <si>
    <t>2 - IN2 = 1</t>
  </si>
  <si>
    <t>PIN3</t>
  </si>
  <si>
    <t>1 bit (3)</t>
  </si>
  <si>
    <t>3 - IN3 = 1</t>
  </si>
  <si>
    <t>PIN4</t>
  </si>
  <si>
    <t>1 bit (4)</t>
  </si>
  <si>
    <t>4 - IN4 = 0</t>
  </si>
  <si>
    <t>PIN5</t>
  </si>
  <si>
    <t>1 bit (5)</t>
  </si>
  <si>
    <t>5 - IN5 = 0</t>
  </si>
  <si>
    <t>PIN6</t>
  </si>
  <si>
    <t>1 bit (6)</t>
  </si>
  <si>
    <t>6 - OUT0 = 0</t>
  </si>
  <si>
    <t>PIN7</t>
  </si>
  <si>
    <t>1 bit (7)</t>
  </si>
  <si>
    <t>7 - OUT1 = 0</t>
  </si>
  <si>
    <t xml:space="preserve">VOLTAGE </t>
  </si>
  <si>
    <t>pwr_in</t>
  </si>
  <si>
    <t>2 bits (7 and 6)</t>
  </si>
  <si>
    <t>charge backup battery</t>
  </si>
  <si>
    <t>pwr_ext</t>
  </si>
  <si>
    <t>6 bits (5 ... 0)</t>
  </si>
  <si>
    <t>board voltage</t>
  </si>
  <si>
    <t>Onboard voltage divided by 500
example: 0x21 = 33 * 500 = 16500mV
max. 32000 mV</t>
  </si>
  <si>
    <t>D8_1</t>
  </si>
  <si>
    <t>пример: 0x17 = 23</t>
  </si>
  <si>
    <t>D8_0</t>
  </si>
  <si>
    <t>LLS3</t>
  </si>
  <si>
    <t>level from LLS3</t>
  </si>
  <si>
    <t>2 bytes</t>
  </si>
  <si>
    <t>2 bytes - level value 0x3111 = 12561</t>
  </si>
  <si>
    <t>LLS2</t>
  </si>
  <si>
    <t>level from LLS2</t>
  </si>
  <si>
    <t>LLS1</t>
  </si>
  <si>
    <t>level from LLS1</t>
  </si>
  <si>
    <t>LLS0</t>
  </si>
  <si>
    <t>level from LLS0</t>
  </si>
  <si>
    <t>PIN3_VALUE</t>
  </si>
  <si>
    <t>the voltage at the IN3</t>
  </si>
  <si>
    <t>voltage in mV</t>
  </si>
  <si>
    <t>пример: 0x17E3 = 6115 мВ</t>
  </si>
  <si>
    <t>PIN2_VALUE</t>
  </si>
  <si>
    <t>the voltage on IN2</t>
  </si>
  <si>
    <t>PIN1_VALUE</t>
  </si>
  <si>
    <t>the frequency / pulse on IN1</t>
  </si>
  <si>
    <t>Bit 15 indicates the mode
0- frequency 1 - pulses. Bits 14..0 - value</t>
  </si>
  <si>
    <t>пример: 0x82A0 = 672 импульса 
пример: 0x7E3 = 2019 Герц</t>
  </si>
  <si>
    <t>PIN0_VALUE</t>
  </si>
  <si>
    <t>frequency / pulse at IN0</t>
  </si>
  <si>
    <t>Bit 15 indicates the mode
0- frequency 1 - pulses Bits 14..0 - value</t>
  </si>
  <si>
    <t>IMEI_GSM</t>
  </si>
  <si>
    <t>unique number of the GSM modem</t>
  </si>
  <si>
    <t>7 Byte</t>
  </si>
  <si>
    <t xml:space="preserve">F30C45F5C90F03 - данные в сообщении. 0x030FC9F5450CF3 =  861785007918323                                                </t>
  </si>
  <si>
    <t>If the bit is not set BF4_7, the IMEI is necessary to take out the element MO Header IEI (ID = 0x01) protocol DirectIP (see. Section 6.2.4.1 of the document http://www.satcom.ws/upload/iblock/757/IRDM_IridiumSBDService_V3_DEVGUIDE_9Mar2012.pdf)</t>
  </si>
  <si>
    <t>Coordinates</t>
  </si>
  <si>
    <t>Latitude (latitude)
longitude (longitude)</t>
  </si>
  <si>
    <t>8 bytes</t>
  </si>
  <si>
    <t>ED5054275781642 - data communication 0x42055fed = 55.755787 latitude in IEEE 754 format
(the floor. If the number N North, Neg. number, if S South)
0x42167875 = 37.617634 longitude in IEEE 754 format
(the floor. If the number of E East, Neg. number, if W West)
if the value of latitude and longitude is 0 - coordinate is not valid</t>
  </si>
  <si>
    <t>If the bit is not set BF4_6, the coordinates must be taken from the element MO Location Information IEI (ID = 0x03) protocol DirectIP (see. Section 6.2.6 of the document http://www.satcom.ws/upload/iblock/757/IRDM_IridiumSBDService_V3_DEVGUIDE_9Mar2012.pdf )</t>
  </si>
  <si>
    <t>пример: 0x55CCDDEE = 1439489518</t>
  </si>
  <si>
    <t>CAN_mileage</t>
  </si>
  <si>
    <t>CAN_consumption</t>
  </si>
  <si>
    <t>can_speed/can_rpm</t>
  </si>
  <si>
    <t>D32_2</t>
  </si>
  <si>
    <t>can_sequrity_state</t>
  </si>
  <si>
    <t>D32_1</t>
  </si>
  <si>
    <t>INFO_MES</t>
  </si>
  <si>
    <t>An example of monitoring data</t>
  </si>
  <si>
    <t>Передача пакета по событиям:</t>
  </si>
  <si>
    <t>78563412 С0 10 FC F30C45F5C90F03 ED5054275781642 A082 05 12 19 11 0E E1</t>
  </si>
  <si>
    <t>0x12345678 - UnixTime</t>
  </si>
  <si>
    <t>Интервал времени (0 - не передавать по интервалу)</t>
  </si>
  <si>
    <t>от 0 до 16777215  сек</t>
  </si>
  <si>
    <t>0xC0 - BF4: DATA_BF4 содержит IMEI_GSM и координаты</t>
  </si>
  <si>
    <t>Срабатвание PIN0</t>
  </si>
  <si>
    <t>да / нет</t>
  </si>
  <si>
    <t>0x10 - BF2: DATA_BF2 содержит параметр IN0_VALUE</t>
  </si>
  <si>
    <t>Срабатвание PIN1</t>
  </si>
  <si>
    <t>0xFC - BF1: DATA_BF1 contains speed vehicle, satellites, altitude, heading, I / O, VOLTAGE</t>
  </si>
  <si>
    <t>Срабатвание PIN2</t>
  </si>
  <si>
    <t>0x030FC9F5450CF3 =  861785007918323 - IMEI_GSM</t>
  </si>
  <si>
    <t>Срабатвание PIN3</t>
  </si>
  <si>
    <t>ED5054275781642 - Coordinates</t>
  </si>
  <si>
    <t>Срабатвание PIN4</t>
  </si>
  <si>
    <t>A082 - Input IN0 operates in counting mode. Pulse counter contains the value 672</t>
  </si>
  <si>
    <t>Срабатвание PIN5</t>
  </si>
  <si>
    <t>0h05 - Vehicle speed in knots</t>
  </si>
  <si>
    <t>Отработка событий по внешнему напряжению</t>
  </si>
  <si>
    <t>0h12 - captured 18 satellites</t>
  </si>
  <si>
    <t>0x19 = 25 * 10 = 250 m height above sea level in meters</t>
  </si>
  <si>
    <t>0x11 = 17*2 = 34 - курс</t>
  </si>
  <si>
    <t>0h0E - Activate the inputs IN1, IN2, IN3. Outputs and other inputs are disabled</t>
  </si>
  <si>
    <t>0hE1 - Internal battery voltage is more than 4,1V, external voltage = 16,5V</t>
  </si>
  <si>
    <t>Example of a message from the gateway Iridium:</t>
  </si>
  <si>
    <t xml:space="preserve">01004601001C85C9B9E2333030323334303630383436393630020012000053FEE1E503000B003846C524E4200000001502001672DFFE53C00000F30C45F5C90F0317F360423E5C1342 </t>
  </si>
  <si>
    <t>01 - Protocol Version</t>
  </si>
  <si>
    <t>0046 - The total length of the message 0x0046 = 70 bytes</t>
  </si>
  <si>
    <t>01001C85C9B9E2333030323334303630383436393630020012000053FEE1E503000B003846C524E4200000001502001672DFFE53C00000F30C45F5C90F0317F360423E5C1342 - Информационные элемены протокола DirectIP</t>
  </si>
  <si>
    <t>01 - Information element MO Header IEI</t>
  </si>
  <si>
    <t>001C - The length of the information element 0x001S = 28 bytes</t>
  </si>
  <si>
    <t>85C9B9E2333030323334303630383436393630020012000053FEE1E5 - Содержимое информационного элемента MO Header IEI (28 байт)</t>
  </si>
  <si>
    <t>85C9B9E2 - CDR Reference (Auto ID): 85C9B9E2 -&gt; 0x85C9B9E2 = 2244590050 - идентификатор сообщения на шлюзе Iridium</t>
  </si>
  <si>
    <t>333030323334303630383436393630 - IMEI: 300234060846960 - IMEI satellite modem</t>
  </si>
  <si>
    <t>02 - Session Status: the number 0x02 means that the message transfer was successful, but georeferenciation sender means of the satellite modem passed nepriemeimym quality.</t>
  </si>
  <si>
    <t>0012 - MOMSN: 0x0012 = 18 - count of messages received from the modem</t>
  </si>
  <si>
    <t>0000 - MTMSN: 0x0000 = 0 - counter messages transmitted modem</t>
  </si>
  <si>
    <t>53FEE1E5 - Time of Session: 53FEE1E5 -&gt; 0x53FEE1E5 = Thu, 28 Aug 2014 08:01:41 GMT - время контакта модема и шлюза Iridium в формате UnixTime</t>
  </si>
  <si>
    <t>03 - Information element MO Location Information IEI</t>
  </si>
  <si>
    <t>000B - The length of the information element 0x000B = 11 bytes</t>
  </si>
  <si>
    <t>003846C524E42000000015 - Content information element MO Location Information IEI (11 bytes)</t>
  </si>
  <si>
    <t>003846C524E420 - geographical location of the sender, the received means of a satellite modem.</t>
  </si>
  <si>
    <t>00 - bit 6 (second from the right, 000 000 010, 0x02) = 0 -&gt; North latitude, bit 7 (the first on the right, 000000001, 0x01) = 0 -&gt; East Longitude</t>
  </si>
  <si>
    <t>38 - degree part of latitude: 0x38 = 56 degrees</t>
  </si>
  <si>
    <t>46C5 - minute part of latitude, multiplied by 1000: 0x46C5 = 18117 -&gt; 18117/100 = 18.117 minutes</t>
  </si>
  <si>
    <t>24 - degree part of longitude: 0x24 = 36 degrees</t>
  </si>
  <si>
    <t>E420 - minute part of longitude multiplied by 1,000: 0xE420 = 58400 -&gt; 58400/100 = 58.4 minutes</t>
  </si>
  <si>
    <t>To convert minutes into the fractional part of the value of degree should be divided by 60.</t>
  </si>
  <si>
    <t>18,117 minutes / 60 = 0.30195. We add the integer part and get 56.30195 degrees north latitude</t>
  </si>
  <si>
    <t>58.4 minutes / 60 = 0.97333. We add the integer part and get degrees east longitude 36.97333</t>
  </si>
  <si>
    <t>If latitude and dolgty is 0 - coordinate is not valid</t>
  </si>
  <si>
    <t>00000015 - CEP Radius: 0x00000015 = 21 km - error in determining the coordinates of an object</t>
  </si>
  <si>
    <t>02 - Information element MO Payload IEI</t>
  </si>
  <si>
    <t>0016 - The length of the information element 0x0016 = 22 bytes</t>
  </si>
  <si>
    <t>72DFFE53C00000F30C45F5C90F0317F360423E5C1342 - Содержимое информационного элемента MO Payload IEI (22 байта)</t>
  </si>
  <si>
    <t>72DFFE53 - time packet generation format UnixTime. 72DFFE53 -&gt; 0x53FEDF72 = Thu, 28 Aug 2014 07:51:14 GMT</t>
  </si>
  <si>
    <t>C0 - BF4: DATA_BF4 содержит IMEI_GSM и координаты</t>
  </si>
  <si>
    <t>00 - BF2: DATA_BF2 contains nothing</t>
  </si>
  <si>
    <t>00 - BF1: DATA_BF1 contains nothing</t>
  </si>
  <si>
    <t>F30C45F5C90F03 - IMEI_GSM F30C45F5C90F03 -&gt; 0x030FC9F5450CF3 = 861785007918323</t>
  </si>
  <si>
    <t>17F360423E5C1342 - координаты:</t>
  </si>
  <si>
    <t>17F36042 -&gt; 0x4260F317 - широта</t>
  </si>
  <si>
    <t>3E5C1342 -&gt; 0x42135CE5 - долгота</t>
  </si>
  <si>
    <t>Статус</t>
  </si>
  <si>
    <t>x.43</t>
  </si>
  <si>
    <t>добавлена поддержка CAN шины ТС:
 - Ford Transit
 - JCB 4CXECO
 - John Deere 325K
 - Renault Master
 - Камаз 65201
 - Nissan Cabstar 
добавлена передача параметров базовой станции (LAC &amp; CID), если нет данных с навигационного приемника
реализован функционал LBS детектор</t>
  </si>
  <si>
    <t>добавлен верхний фильтр для CAN данных по полному пробегу и моточасам для протокола J1939
исправлена ошибка при переключении двух симкарт
изменен интервал связи в режиме прослушки
переделан алгоритм выгрузки из памяти</t>
  </si>
  <si>
    <t xml:space="preserve">Изменен диапазон опроса цифровых ДУТ,
можно подключить до 6 шт. одновременно 
(адреса должны быть: 0, 1, 2, 3, 4, 5)
Если ДУТ не подключен - ничего не отправлется на сервер
Если подключен один термодатчик 1-wire - прописывать его номер не требуется, будет передаваться автоматически под номером 0
Фильтр по координатам расширен (весь мир)
Добавлено усреднение для уровня топлива с CAN </t>
  </si>
  <si>
    <t>x.42</t>
  </si>
  <si>
    <t xml:space="preserve">Beeline (Россия) подставляются настройки Jasper (m2m.beeline.ru)
добавлена поддержка HEADER2
</t>
  </si>
  <si>
    <t>исправлена ошибка записи блоков при обновлении ПО</t>
  </si>
  <si>
    <t>релиз
03.11.2014</t>
  </si>
  <si>
    <t>x.41</t>
  </si>
  <si>
    <t>добавлена поддержка двух симкарт
добавлена поддержка чтения CAN шины:
 MERCEDES-BENZ ACTROS 
 MERCEDES-BENZ AXOR
 MERCEDES-BENZ E2xx
 IVECO TRAKKER
 FORD FOCUS 3 
 Peugeot Partner
 VW Touran
переделана работа по хранению данных во FLASH памяти</t>
  </si>
  <si>
    <t>при потери координат скорость сбрасывается на 0
исправлена ошибка выхода из DEEP SLEEP
исправлен APN для оператора МТС Украина (25501)
исправлена ошибка при фильтрации данных с ДУТ</t>
  </si>
  <si>
    <t xml:space="preserve">расширен диапазон значений уровня цифровых ДУТ LLS до 2-х байт 
переделан опрос ДУТ Стрела
при отстствии цифрового ДУТ - ничего не передается
</t>
  </si>
  <si>
    <t>релиз 
30.07.14</t>
  </si>
  <si>
    <t>x.40</t>
  </si>
  <si>
    <t>исправлена ошибка - проверка настроек при каждом старте</t>
  </si>
  <si>
    <t>релиз
10.06.14</t>
  </si>
  <si>
    <t>x.39</t>
  </si>
  <si>
    <t>для активирования внутреннего CAN в меню - Режим работы входов/выходов 
выбрать соответствующий номер программмы в разделе цифровые входы - CAN
параметры программы и считываемые данные см. в документе
https://docs.google.com/a/sokolgl.ru/spreadsheet/ccc?key=0AleBBHkbV-F_dGZKVldzNW9XWkZ1cHhXZVVlczlEYlE#gid=0 
реализция работы с устройством HALDEX (прицепы, полуприцепы)
охранная версия
поддержка операторов:
Россия: Beeline, MegaFon, MTS, Tele2
Белоруссия: MTS BY, VELCOM
Украина: MTS UA, Kyivstar, Life
Казахстан: K-CELL, BeeLine KZ
Канада: ROGERS
Италия: WIND
добавлен режим работы в роуминге
изменена структура хранения настроек (код 0x25, размер 254 байта)</t>
  </si>
  <si>
    <t>проверка настроек для AR
подтверждение обновления
проверка по датчику mems
кнопка вызова исправлена
скорректирован механизм сохранения APN
корректная передача параметров:
MCC (2 байта)
MNC (младший байт)</t>
  </si>
  <si>
    <t>сохранение последней координаты, автоматическое обновление при изменении местоположения
сохранение состояния выхода 1 (OUT1)
передача события начала остановки при нулевой скорости
задержка 2-3 сек при срабатывании датчиков в режиме охраны
сохранение состояния выходов в энергонезависимой памяти</t>
  </si>
  <si>
    <t>релиз 
15.05.14</t>
  </si>
  <si>
    <t>2.38</t>
  </si>
  <si>
    <t>ID - номер ключа передается во FRAME 2 (4 байта)
добавлен режим дискретного входа (по минусу) - контроль массы для автомобилей с отключаемой массы для корректного отображения статуса зажигания  (FRAME 9 - st2 - cтатус зажигания)</t>
  </si>
  <si>
    <t xml:space="preserve">скорость с CAN
передача статуса зажигания с CAN
добавить исключения на CAN
проверка ML3
датчик движения для AL
при заморозке по зажиганию не отрабатывать 311-312
добавить фильтр на зажигание
</t>
  </si>
  <si>
    <t>добавлена ругулировка громкости спикера и чувствительности микрофона через WEB конфигуратор
Последняя версия прошивки для устройств серий: 
AutoLink
A2100
A2200 (4aLink)</t>
  </si>
  <si>
    <t>релиз
17.07.13</t>
  </si>
  <si>
    <t>2.37</t>
  </si>
  <si>
    <t>реализация работы с  CAN шиной (протокол J1939) 
ключи идентификации - передаются последние 4 байта ключа
(номер ключа приходит в десятично виде во FRAME 40 - temp_1wire_0)</t>
  </si>
  <si>
    <t>увеличить показатель скорости для датчика движения
сохранение последней даты учитывая протокол
динамическая фильтрация для частотных ДУТ
отработка первой точки с нулевой скоростью (инфо код 316)
Hclk - 288MHz, *              Fcckl = 96MHz</t>
  </si>
  <si>
    <t>релиз 
25.06.13</t>
  </si>
  <si>
    <t>2.36</t>
  </si>
  <si>
    <t>добавлены режимы работы дискретного входа:
1. зажигание (используется при заморозке координат)
2. кнопка тревоги
3. кнопка тангенты
4. кнопка вызова
статус тревожной кнопки передается в поле st1 FRAME Device status (DS)
статус зажигания передается в поле st2 FRAME Device status (DS)
запрос датчиков 1-wire (номер + значение температуры) по смс (см. SMS_COM)
реализован новый загрузчик (3.1), поддержка доп. мс памяти (Macronix, Winbond)</t>
  </si>
  <si>
    <t>при стоянке не отрабатывать коды 311-312 
проверка высоты (отриц.) 
добавлен инвертор зажигания для optima и выше 
флаг SIM_IN 
на большой скорости изменить угол
защита от дублирования пакета по времени
сохранение последней даты при синхронизации</t>
  </si>
  <si>
    <t>добавлен фильтр по частотным ДУТ с доп. параметрами:
1 - интервал опроса (по умолчанию 5 сек)
2 - коэф. при движении (по умолчанию 10)
3 - коэф. при стоянке (по умолчанию 50)
4 - кол-во усреднений (по умолчанию 10)
5 - дельта нечувствительности (по умолчанию 5)
добавлен фильтр по цифровым ДУТ  - принцип динмаческой фильтрации
(постоянный буфер последних 5 измерений, по которым делается средняя в качестве текущего результата)</t>
  </si>
  <si>
    <t>релиз 10.06.13</t>
  </si>
  <si>
    <t>2.35</t>
  </si>
  <si>
    <t xml:space="preserve">реализован прием тестовых сообщений от сервера
(DV-01  не более 60 символов, планшет  не более 100 символов)
отработка траектории по изменению скорости
выбор времени формирования события в треке (навигац или внутреннее)
</t>
  </si>
  <si>
    <t>разделение спутников при GPS
идентификация выхода из DP</t>
  </si>
  <si>
    <t>при передаче координат добавляется флаг отработки события (угол, расстояние, скорость, интервал, первая/последняя координаты) при условии что включены инфо сообщения</t>
  </si>
  <si>
    <t>релиз 
14.05.13</t>
  </si>
  <si>
    <t>2.34</t>
  </si>
  <si>
    <t>реализована поддержка CAN адаптер-интерпретатор RS232-ECU FMS2
добавлена обработка данных с CANlog (Q, V, U, XA, XB)
переделан алгоритм выгрузки пакетов из памяти (блоки не перезаписываются)</t>
  </si>
  <si>
    <t>исправлена ошибка обработки доп. параметров с CANlog</t>
  </si>
  <si>
    <t>сокращена задержка фильтрации дискретных входов (с 1.5 сек до 600 мс)
изменен фильтр для частотных датчиков (коэф 5 при движении, 50 при стоянке)</t>
  </si>
  <si>
    <t>релиз
20.03.13</t>
  </si>
  <si>
    <t>2.33</t>
  </si>
  <si>
    <t>поддержка цифровых ДУТ LLS протокола: 
при подключении по RS232:
COM1-X3 скорость 19200 LLS_232, передаваться будут как LLS0
COM2-X2 скорость115200 - LLS_232/19200 LLS_485 передаваться будет как LLS1
(реальный номер датчика не имеет значения)
при подключении по RS485 (COM1-X3 скорость 19200 LLS_485) номера датчиков от 0 до 4
частотный ДУТ от 30 до 2000 Гц (ранее было от 500 до 2000 Гц)
реализована поддержка дисплея водителя DV-01  - передача состояния</t>
  </si>
  <si>
    <t xml:space="preserve">
изменен алгоритм формирования времени в пакете (передается RTC_SYS)
фильтр для частотных ДУТ по скорости и внешнему напряжению
исправлена ошибка при синхронизации времени по GPS/GLONASS
переделана отработка дисктреных входов/выходов</t>
  </si>
  <si>
    <t>заморозка координат по зажиганию (IN2)
разрешение/запрет работы в роуминге
перезагрузку модема только при стоянке
опрос внешнего напряжения при deep_sleep 30 сек (ранее было 60 сек)</t>
  </si>
  <si>
    <t>релиз
05.03.13</t>
  </si>
  <si>
    <t>2.27</t>
  </si>
  <si>
    <t>реализован протокол II 
формирование любой  структуры пакета
асинхронные команды
отправка текста
фото в проработке</t>
  </si>
  <si>
    <t>исправлены мелкие ошибки по работе Viewer</t>
  </si>
  <si>
    <t>добавлены статусы обновления ПО, прошивки</t>
  </si>
  <si>
    <t>релиз</t>
  </si>
  <si>
    <t>0.72</t>
  </si>
  <si>
    <t xml:space="preserve">-Обновление внешнего КАНа через FTP с сохранением файла прошивки в ФС модема. 
-Добавлены команды  SETP #1 #2 #5 #7 #12; SMSK
</t>
  </si>
  <si>
    <t xml:space="preserve">Исправлен медианный фильтр  LLS.
Исправлены ошибки в работе с GSM модемом
</t>
  </si>
  <si>
    <t xml:space="preserve">
</t>
  </si>
  <si>
    <t>0.74</t>
  </si>
  <si>
    <r>
      <rPr>
        <rFont val="Arial"/>
        <sz val="9.0"/>
      </rPr>
      <t>-Modbus ASCII и RTU на интерфейсах 232 и 485
-Полностью переписана процедура регистрации в сети и переключения между симкартами
-Добавлена функция скачивания и обработки "скрытых" настроек 
-Добавлена выгрузка LAC и CID
-Оптимизация функции создания пакета Черного ящика</t>
    </r>
    <r>
      <rPr>
        <rFont val="Arial"/>
        <sz val="11.0"/>
      </rPr>
      <t xml:space="preserve">
</t>
    </r>
    <r>
      <rPr>
        <rFont val="Arial"/>
        <sz val="9.0"/>
      </rPr>
      <t>-При нулевых значениях настроек "угла поворота" "минимальной дистанции" "изменения скорости" - 
передаются только пакеты по таймеру и по сработкам дискретных входов</t>
    </r>
    <r>
      <rPr>
        <rFont val="Arial"/>
        <sz val="11.0"/>
      </rPr>
      <t xml:space="preserve">
</t>
    </r>
  </si>
  <si>
    <t>Исправлена ошибка в модуле фотокамеры OV0706</t>
  </si>
  <si>
    <t xml:space="preserve">Modbus работает только с функциями чтения данных, 
Доступные скорости интерфейсов : 9600, 19200, 38400, 57600;
Доступно считывание и передача на сервер до 20 регистров (двух или четырехбайтовых).
</t>
  </si>
  <si>
    <t>1.41</t>
  </si>
  <si>
    <t>Модуль KDM-DM1 (Настком) добавлен</t>
  </si>
  <si>
    <t>Исправление ошибок в коде модулей модема и ИрмаМатрикс.</t>
  </si>
  <si>
    <t>1.42</t>
  </si>
  <si>
    <t>Исправления для НАстком в инфомессаджах по остановкам и в модуле KDM-DM1</t>
  </si>
  <si>
    <t>1.43</t>
  </si>
  <si>
    <t>Исправление фиксации курса</t>
  </si>
  <si>
    <t>1.44</t>
  </si>
  <si>
    <t>Принудительное обновление исправлено (когда текущая версия совпадает с назначенной). Обнуление скорости по датчику движения в прасере ГНСС. Пакеты инфо START и FIRST_SPEED проходят проверу на фиксацию</t>
  </si>
  <si>
    <t>1.45</t>
  </si>
  <si>
    <t>Улучшения фильтрации выбросов скорости</t>
  </si>
  <si>
    <t>1.46</t>
  </si>
  <si>
    <t>Программа 333 для Инновационного цетра КАМАЗА с PGN 0xFEE0</t>
  </si>
  <si>
    <t>1.47</t>
  </si>
  <si>
    <t>Галочки формирования пакета по CANпараметрам.</t>
  </si>
  <si>
    <t>Исправление ошибки в выгрузке фалов DDD. Исправление ошибки фильтра CAN пакетов во встроенной программе номер 6 внутреннего КАНа</t>
  </si>
  <si>
    <t>1.48</t>
  </si>
  <si>
    <t>аналог 1.47, спецверсия</t>
  </si>
  <si>
    <t>1.49</t>
  </si>
  <si>
    <t>Добавлена программа 36 внутреннего кана. Добавлено сохранение расчетных зачений кан параметров в отдельную область памяти(в полном объеме это начало работать позже)</t>
  </si>
  <si>
    <t>Исправлена ошибка подсчета времени работы двигателя по КАН. Исправлена ошибка работы с вайфаймодулем (возможно критическая, в некоторых случаях приводящая к долгому простою вайфай). Исправлена ошибка в модуле тахографа Штрих. SPN183 для Инновационного центра Камаз(программа внутреннего кан 333). Выгрузка внутренней памяти через программу ArnaviDiagnost(для Настком). Исправленна программ 64 внутреннего кана.</t>
  </si>
  <si>
    <t>1.51</t>
  </si>
  <si>
    <t>Аналог 1.49 только с включенной опцией МобилАй</t>
  </si>
  <si>
    <t>1.52</t>
  </si>
  <si>
    <t>Отправка внеочередного пакета по пороговому уровню на АЦП входе (6Вольт). Отображение скорости на тихоходных объектах (требует активацию галочки в настройках на вебе). Поддержка ответов от сервера на пакет Авторизации без указания сервером собственного времени (старый тип авторизации)</t>
  </si>
  <si>
    <t>Исправления в 37ой и 61-ой программах внутреннего кана. сохранение и восстановление после рестарта расчетных параметров кана (типа расчетного потребленного топлива и др.)</t>
  </si>
  <si>
    <t>1.54</t>
  </si>
  <si>
    <t>Тахограф Штрих - выгрузка дополнительной информации:
 номера карт водителей, текущие статусы активностей, время текущей активности,
время вождения, время вождения за сутки
Добавлен Тахограф Меркурий (в протоколе скаут). Выгрузка ддд-файлов карт производится
с сохранением файла в область файловой системы внешней флеш наравне с
файлами фото. Также есть информация о наличии карт, их номерах.</t>
  </si>
  <si>
    <t>Название ПО</t>
  </si>
  <si>
    <t>Ссылка</t>
  </si>
  <si>
    <t>Wialon (Gurtam)</t>
  </si>
  <si>
    <t>http://gurtam.com/ru/gps_tracking/gps_hardware/auto.html?id=autolink</t>
  </si>
  <si>
    <t>GPS-Trace Orange</t>
  </si>
  <si>
    <t>http://gps-trace.com/?page=hw&amp;type=auto&amp;id=autolink</t>
  </si>
  <si>
    <t>СDС</t>
  </si>
  <si>
    <t>http://www.cdc.ru/solutions/optimum-gps-monitoring/</t>
  </si>
  <si>
    <t>AntInteracteeve</t>
  </si>
  <si>
    <t>http://iscv.ru/produkty/kontrollery/product/view/1/1.html</t>
  </si>
  <si>
    <t>NaviFleet</t>
  </si>
  <si>
    <t>http://www.navifleet.lv/</t>
  </si>
  <si>
    <t>LiteGPS</t>
  </si>
  <si>
    <t>http://www.litegps.ru/programmnoe-obespechenie/podderzhivaemoe-oborudovanie.html</t>
  </si>
  <si>
    <t>MAPROX</t>
  </si>
  <si>
    <t>http://www.maprox.ru/equipment</t>
  </si>
  <si>
    <t xml:space="preserve">NaviFleet </t>
  </si>
  <si>
    <t>http://www.navixy.ru/hardware/</t>
  </si>
  <si>
    <t>Navixy</t>
  </si>
  <si>
    <t>http://wiki.navixy.ru/%D0%A1%D0%BE%D0%BA%D0%BE%D0%BB%D0%B8%D0%BD%D1%8B%D0%B9_%D0%B3%D0%BB%D0%B0%D0%B7</t>
  </si>
  <si>
    <t>СКАУТ</t>
  </si>
  <si>
    <t>ОМНИКОММ</t>
  </si>
  <si>
    <t>FortTelecom</t>
  </si>
  <si>
    <t>http://www.fort-monitor.ru/programmnoe_obespechenie/fortmonitor_vendor/</t>
  </si>
  <si>
    <t>ЕНДС</t>
  </si>
  <si>
    <t>http://ends-russia.ru/hardware/</t>
  </si>
  <si>
    <t>P_B</t>
  </si>
  <si>
    <t>Перемнные для передачи</t>
  </si>
  <si>
    <t>ПАКЕТ (DATA)</t>
  </si>
  <si>
    <t>кол-во байт в пакете (макс. 250)</t>
  </si>
  <si>
    <t>0.0</t>
  </si>
  <si>
    <t>GPS/Glonass координаты:
широта
долгота</t>
  </si>
  <si>
    <t>да</t>
  </si>
  <si>
    <t>0.1</t>
  </si>
  <si>
    <t>GPS/Glonass параметры:
скорость
высота
спутники (GPS, Glonass)
азимут</t>
  </si>
  <si>
    <t>0.2</t>
  </si>
  <si>
    <t>GPS/Glonass доп. параметры:
режим 
PDOP
VDOP
HDOP</t>
  </si>
  <si>
    <t>0.3</t>
  </si>
  <si>
    <t>информационные сообщения (ошибки, статусы и прочее)</t>
  </si>
  <si>
    <t>0.4</t>
  </si>
  <si>
    <t>Статусы устройства:
   побитовое состояние входов
   побитовое состояние выходов
   статус работы GSM модема
   статус работы GPS/Glonass приемника
статус датчика движения
наличие симкарты
симкарта / симчип
уровень бортового напряжения 
уровень заряда резервного АКБ
доп. статусы</t>
  </si>
  <si>
    <t>0.5</t>
  </si>
  <si>
    <t>уровень сигнала GSM + параметры оператора (код страны и оператора)</t>
  </si>
  <si>
    <t>0.6</t>
  </si>
  <si>
    <t>LAC и CID текущей базовой станции</t>
  </si>
  <si>
    <t>0.7</t>
  </si>
  <si>
    <t>Бортовое напряжение в мВ и напряжение аккумулятора в мВ</t>
  </si>
  <si>
    <t>0.8</t>
  </si>
  <si>
    <t>0.9</t>
  </si>
  <si>
    <t>значения на входах в зависимости от настройки: импульсы, частота, напряжение:</t>
  </si>
  <si>
    <t>0.10</t>
  </si>
  <si>
    <t>на входе IN0 (импульсы или частота)</t>
  </si>
  <si>
    <t>0.11</t>
  </si>
  <si>
    <t>на входе IN1 (импульсы или частота)</t>
  </si>
  <si>
    <t>0.12</t>
  </si>
  <si>
    <t>на входе IN2 (напряжение)</t>
  </si>
  <si>
    <t>0.13</t>
  </si>
  <si>
    <t>на входе IN3 (импульсы или частота)</t>
  </si>
  <si>
    <t>0.14</t>
  </si>
  <si>
    <t>на входе IN4 (импульсы или частота)</t>
  </si>
  <si>
    <t>0.15</t>
  </si>
  <si>
    <t>на входе IN5 (импульсы или частота)</t>
  </si>
  <si>
    <t>0.16</t>
  </si>
  <si>
    <t>на входе IN6 (напряжение)</t>
  </si>
  <si>
    <t>0.17</t>
  </si>
  <si>
    <t>на входе IN7 (1-wire ключи или термодатчики)</t>
  </si>
  <si>
    <t>0.18</t>
  </si>
  <si>
    <t>0.19</t>
  </si>
  <si>
    <t>данные с CAN шины</t>
  </si>
  <si>
    <t>0.20</t>
  </si>
  <si>
    <t>S - Security state flags</t>
  </si>
  <si>
    <t>0.21</t>
  </si>
  <si>
    <t>A,B - Полное время работы двигателя</t>
  </si>
  <si>
    <t>C,D - Полный пробег транспортного средства</t>
  </si>
  <si>
    <t>E,F - Полный расход топлива</t>
  </si>
  <si>
    <t>G,R - Уровень топлива в баке</t>
  </si>
  <si>
    <t>H - Скорость оборотов двигателя</t>
  </si>
  <si>
    <t>I - Температура двигателя</t>
  </si>
  <si>
    <t>J - Скорость тр средства</t>
  </si>
  <si>
    <t>K,L,M,N,O - Давление на оси (1,2,3,4,5)</t>
  </si>
  <si>
    <t>P - Контроллеры аварии</t>
  </si>
  <si>
    <t>0.30</t>
  </si>
  <si>
    <t>Q - Мгновенный расход топлива</t>
  </si>
  <si>
    <t>U/V - Уровень жидкости AdBLUE</t>
  </si>
  <si>
    <t>данные с ДУТ по протоколу LLS</t>
  </si>
  <si>
    <t>1.0</t>
  </si>
  <si>
    <t>Значения уровня топлива и температуры с датчика 0</t>
  </si>
  <si>
    <t>1.1</t>
  </si>
  <si>
    <t>Значения уровня топлива и температуры с датчика 1</t>
  </si>
  <si>
    <t>1.2</t>
  </si>
  <si>
    <t>Значения уровня топлива и температуры с датчика 2</t>
  </si>
  <si>
    <t>1.3</t>
  </si>
  <si>
    <t>Значения уровня топлива и температуры с датчика 3</t>
  </si>
  <si>
    <t>данные по MicroLink3</t>
  </si>
  <si>
    <t>1.4</t>
  </si>
  <si>
    <t>Return temp</t>
  </si>
  <si>
    <t>1.5</t>
  </si>
  <si>
    <t>Supply temp</t>
  </si>
  <si>
    <t>1.6</t>
  </si>
  <si>
    <t>Set point</t>
  </si>
  <si>
    <t>1.7</t>
  </si>
  <si>
    <t>Container ID (буквы+цифры)</t>
  </si>
  <si>
    <t>1.8</t>
  </si>
  <si>
    <t>Значения уровня топлива и температуры с датчика 4</t>
  </si>
  <si>
    <t>1.9</t>
  </si>
  <si>
    <t>Значения уровня топлива и температуры с датчика 5</t>
  </si>
  <si>
    <t>1.10</t>
  </si>
  <si>
    <t>Значения уровня топлива и температуры с датчика 6</t>
  </si>
  <si>
    <t>1.11</t>
  </si>
  <si>
    <t>Значения уровня топлива и температуры с датчика 7</t>
  </si>
  <si>
    <t>1.12</t>
  </si>
  <si>
    <t>1.13</t>
  </si>
  <si>
    <t>1.14</t>
  </si>
  <si>
    <t>1.15</t>
  </si>
  <si>
    <t>1.16</t>
  </si>
  <si>
    <t>1.17</t>
  </si>
  <si>
    <t>1.18</t>
  </si>
  <si>
    <t>1.19</t>
  </si>
  <si>
    <t>1.20</t>
  </si>
  <si>
    <t>1.21</t>
  </si>
  <si>
    <t>1.22</t>
  </si>
  <si>
    <t>1.23</t>
  </si>
  <si>
    <t>1.24</t>
  </si>
  <si>
    <t>1.25</t>
  </si>
  <si>
    <t>1.26</t>
  </si>
  <si>
    <t>1.27</t>
  </si>
  <si>
    <t>1.28</t>
  </si>
  <si>
    <t>1.29</t>
  </si>
  <si>
    <t>1.30</t>
  </si>
  <si>
    <t>1.31</t>
  </si>
  <si>
    <t xml:space="preserve">FF 23 E9 EF 78 2D E7 12 03 00 </t>
  </si>
  <si>
    <t>HEADER2 from device (IMEI 865209039777769)</t>
  </si>
  <si>
    <t xml:space="preserve">7B 04 00 7F 21 5A AA 5A 7D </t>
  </si>
  <si>
    <t>confirmation HEADER2 (Thu, 15 Mar 2018 11:33:53 GMT)</t>
  </si>
  <si>
    <t>5B 
01 
01 
14 00 
EA 59 AA 5A 
FC FF 0F 07 00 
FD 67 D2 C8 29 
FE 18 A7 95 0A 
FF A2 68 02 00 
E6 
01 
28 00
EA 59 AA 5A
97 66 02 00 00 
07 5F D6 9B 13 
08 02 FA 00 1A 
09 00 60 C4 64 
01 09 11 B4 3A 
5B 1F 00 0F 00 
5C 00 00 36 00 
5D 00 00 FC 02 
5E 
5D</t>
  </si>
  <si>
    <t xml:space="preserve">TWO PACKAGES from device
 </t>
  </si>
  <si>
    <t>7B 00 01 7D</t>
  </si>
  <si>
    <t xml:space="preserve">confirmation PACKAGE </t>
  </si>
  <si>
    <t>5B 
01 
01 
3C 00 
FD 5A AA 5A 
03 95 8B 5E 42 
04 8F D5 14 42 
05 00 15 77 00 
97 DB 00 00 00 
07 5F D6 9B 13 
08 02 FA 00 18 
09 00 D0 C5 64 
01 0F 11 EA 3A 
5B 07 00 09 01 
5C 00 00 9C 00 
5D 00 00 8C 00 
FA 32 01 00 00 
A6 
5D</t>
  </si>
  <si>
    <t>ONE PACKAGE from device</t>
  </si>
  <si>
    <t>5B
01 
01 
3C 00 
C3 61 AA 5A 
03 84 8B 5E 42 
04 55 D5 14 42 
05 00 15 67 00 
97 EE 00 00 00 
07 5F D6 9B 13 
08 02 FA 00 19 
09 00 D0 C4 64 
01 0F 11 E1 3A 
5B 8D 01 3F 01 
5C 00 00 BC 01 
5D 00 00 F6 03 
FA 32 01 00 00 
6D 
5D</t>
  </si>
  <si>
    <t>PACKAGE from device</t>
  </si>
  <si>
    <t xml:space="preserve">
5B // beginning PACKAGE
   01 // parcel number from 0x01 to 0xFB
      01 // type PACKET (0x00-PING, 0x01-DATA, 0x03 - TEXT, 0x04 - FILE)
          55 00 // Length of the data packet (DATA length)
                 C5 CF C2 51 // unixtime
                    03 4D 8B 5E 42 // TAG 0x03
                    04 18 D6 14 42
                    05 04 16 0A 00
                    02 09 E0 CC 64
                    15 F5 01 00 00
                    20 00 00 00 00
                    24 00 00 00 00
                    2A 3A 00 00 CD
                    CD 00 2C 71 00
                    2D 2E 00 00 CD
                    2E 6C CD 00 00
                    2F 3F 00 00 CD
                    30 4D 00 00 CD
                    CD 31 46 00 00
                    FA F8 01 00 00
                    FA F8 01 00 00
                    FA 90 01 00 00 // TAG 0xFA
                    62 // Checksum, followed by the next PACKET
      01 // type PACKET (0x00-PING, 0x01-DATA, 0x03 - TEXT, 0x04 - FILE)
          50 00 // Length of the data packet (DATA length)
                5B D0 C2 51 // unixtime
                    03 4D 8B 5E 42
                    04 18 D6 14 42
                    05 05 16 0A 00
                    02 09 E0 CC 64
                    15 F5 01 00 00
                    20 00 00 00 00
                    24 00 00 00 00
                    2A 3A 00 00 CD
                    CD 00 2C 71 00
                    2D 2E 00 00 CD
                    2E 6C CD 00 00
                    2F 3F 00 00 CD
                    30 4D 00 00 CD
                    CD 31 46 00 00
                    FA F8 01 00 00
                    FA F8 01 00 00
                    6E // Checksum
 5D // end PACKAGE
</t>
  </si>
  <si>
    <t>Sample package
with parameter transfer (TAG)
184 bytes</t>
  </si>
  <si>
    <t>5B // beginning PACKAGE
    01 // parcel number from 0x01 to 0xFB
        01 // type PACKET (0x00-PING, 0x01-DATA, 0x03 - TEXT, 0x04 - FILE)
            00 00 // Length of the data packet (DATA length)
                      FB DE C2 51 EC // unixtime
5D // end PACKAGE</t>
  </si>
  <si>
    <t>Sample package
no parameters (TAG)
11 bytes</t>
  </si>
  <si>
    <t>7B 02 FF 09 01 08 7D</t>
  </si>
  <si>
    <t>асинхронная команда - обновить настройки</t>
  </si>
  <si>
    <t>7B 02 FF 06 01 05 7D</t>
  </si>
  <si>
    <t>асинхронная команда - обновить ПО</t>
  </si>
  <si>
    <t>7B 02 NN 09 01 08 7D</t>
  </si>
  <si>
    <t>синхронная команда на пакет NN - обновить настройки</t>
  </si>
  <si>
    <t>7B 02 NN 06 01 05 7D</t>
  </si>
  <si>
    <t>синхронная команда на пакет NN - обновить ПО</t>
  </si>
  <si>
    <t>7B 02 FF 01 01 00 7D</t>
  </si>
  <si>
    <t>7B 02 xx 01 01 00 7D</t>
  </si>
  <si>
    <t>http://sms.duotec.ru/?6b&amp;551eaa09&amp;37.2092&amp;55.6358&amp;c0&amp;469826050&amp;332849043&amp;54d&amp;17</t>
  </si>
  <si>
    <t>порядок запроса</t>
  </si>
  <si>
    <t>кол-во байт</t>
  </si>
  <si>
    <t>описание</t>
  </si>
  <si>
    <t>пример</t>
  </si>
  <si>
    <t>n</t>
  </si>
  <si>
    <t>тип устройства</t>
  </si>
  <si>
    <t>0x6b</t>
  </si>
  <si>
    <t xml:space="preserve">unixtime </t>
  </si>
  <si>
    <t xml:space="preserve"> 0x551eaa09</t>
  </si>
  <si>
    <t xml:space="preserve">широта </t>
  </si>
  <si>
    <t>37.2092</t>
  </si>
  <si>
    <t>долгота</t>
  </si>
  <si>
    <t>55.6358</t>
  </si>
  <si>
    <t>скорость, спутники</t>
  </si>
  <si>
    <t>0xc0</t>
  </si>
  <si>
    <t>уровень GSM, MCC, MNC</t>
  </si>
  <si>
    <t>LAC и CID</t>
  </si>
  <si>
    <t>напряжение</t>
  </si>
  <si>
    <t>0x54d</t>
  </si>
  <si>
    <t>доп параметр - для охраны</t>
  </si>
  <si>
    <t>формат запроса версия 1.1</t>
  </si>
  <si>
    <t>версия протокола</t>
  </si>
  <si>
    <t>0x01</t>
  </si>
  <si>
    <t>DOP1</t>
  </si>
  <si>
    <t>0x00</t>
  </si>
  <si>
    <t>текстовое поле</t>
  </si>
  <si>
    <t>привет</t>
  </si>
  <si>
    <t xml:space="preserve"> 0x506BF1E3</t>
  </si>
  <si>
    <t>0xED5F0542</t>
  </si>
  <si>
    <t>0x75781642</t>
  </si>
  <si>
    <t>скорость</t>
  </si>
  <si>
    <t>0X32</t>
  </si>
  <si>
    <t>кол-во спутников</t>
  </si>
  <si>
    <t>0x0A</t>
  </si>
  <si>
    <t>LAC</t>
  </si>
  <si>
    <t>0xCD55</t>
  </si>
  <si>
    <t>CID</t>
  </si>
  <si>
    <t>0X56AC</t>
  </si>
  <si>
    <t>уровень GSM</t>
  </si>
  <si>
    <t>0x0F</t>
  </si>
  <si>
    <t>бортовое напряжение</t>
  </si>
  <si>
    <t>0XF1</t>
  </si>
  <si>
    <t>пример:</t>
  </si>
  <si>
    <t>?01&amp;00&amp;привет&amp;506BF1E3&amp;ED5F0542&amp;75781642&amp;32&amp;0A&amp;CD55&amp;56AC&amp;0F&amp;F1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</si>
</sst>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25">
    <font>
      <sz val="10.0"/>
      <color rgb="FF000000"/>
      <name val="Arial"/>
    </font>
    <font>
      <b/>
      <sz val="10.0"/>
    </font>
    <font/>
    <font>
      <b/>
      <name val="Arial"/>
    </font>
    <font>
      <name val="Arial"/>
    </font>
    <font>
      <b/>
    </font>
    <font>
      <color rgb="FF000000"/>
      <name val="'Arial'"/>
    </font>
    <font>
      <sz val="10.0"/>
      <color rgb="FF000000"/>
    </font>
    <font>
      <color rgb="FF000000"/>
    </font>
    <font>
      <b/>
      <sz val="10.0"/>
      <color rgb="FF000000"/>
    </font>
    <font>
      <color rgb="FF000000"/>
      <name val="Arial"/>
    </font>
    <font>
      <color rgb="FFFFFFFF"/>
    </font>
    <font>
      <b/>
      <color rgb="FF000000"/>
      <name val="Arial"/>
    </font>
    <font>
      <color rgb="FF000000"/>
      <name val="&quot;Arial&quot;"/>
    </font>
    <font>
      <color rgb="FF000000"/>
      <name val="Roboto"/>
    </font>
    <font>
      <b/>
      <color rgb="FF000000"/>
    </font>
    <font>
      <sz val="11.0"/>
      <color rgb="FF000000"/>
      <name val="Georgia"/>
    </font>
    <font>
      <b/>
      <sz val="10.0"/>
      <color rgb="FF000000"/>
      <name val="Times New Roman"/>
    </font>
    <font>
      <sz val="10.0"/>
      <name val="Courier New"/>
    </font>
    <font>
      <sz val="11.0"/>
      <name val="Arial"/>
    </font>
    <font>
      <b/>
      <i/>
      <sz val="10.0"/>
    </font>
    <font>
      <u/>
      <color rgb="FF0000FF"/>
    </font>
    <font>
      <sz val="10.0"/>
      <color rgb="FFFF0000"/>
    </font>
    <font>
      <b/>
      <sz val="12.0"/>
      <color rgb="FFFF0000"/>
    </font>
    <font>
      <u/>
      <color rgb="FF0000FF"/>
    </font>
  </fonts>
  <fills count="20">
    <fill>
      <patternFill patternType="none"/>
    </fill>
    <fill>
      <patternFill patternType="lightGray"/>
    </fill>
    <fill>
      <patternFill patternType="solid">
        <fgColor rgb="FF0000FF"/>
        <bgColor rgb="FF0000FF"/>
      </patternFill>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
      <patternFill patternType="solid">
        <fgColor rgb="FF4A86E8"/>
        <bgColor rgb="FF4A86E8"/>
      </patternFill>
    </fill>
    <fill>
      <patternFill patternType="solid">
        <fgColor rgb="FFFFFFFF"/>
        <bgColor rgb="FFFFFFFF"/>
      </patternFill>
    </fill>
    <fill>
      <patternFill patternType="solid">
        <fgColor rgb="FFF3F3F3"/>
        <bgColor rgb="FFF3F3F3"/>
      </patternFill>
    </fill>
    <fill>
      <patternFill patternType="solid">
        <fgColor rgb="FFFF00FF"/>
        <bgColor rgb="FFFF00FF"/>
      </patternFill>
    </fill>
    <fill>
      <patternFill patternType="solid">
        <fgColor rgb="FF00FFFF"/>
        <bgColor rgb="FF00FFFF"/>
      </patternFill>
    </fill>
    <fill>
      <patternFill patternType="solid">
        <fgColor rgb="FFFF0000"/>
        <bgColor rgb="FFFF0000"/>
      </patternFill>
    </fill>
    <fill>
      <patternFill patternType="solid">
        <fgColor rgb="FF38761D"/>
        <bgColor rgb="FF38761D"/>
      </patternFill>
    </fill>
    <fill>
      <patternFill patternType="solid">
        <fgColor rgb="FF9FC5E8"/>
        <bgColor rgb="FF9FC5E8"/>
      </patternFill>
    </fill>
    <fill>
      <patternFill patternType="solid">
        <fgColor rgb="FF980000"/>
        <bgColor rgb="FF980000"/>
      </patternFill>
    </fill>
    <fill>
      <patternFill patternType="solid">
        <fgColor rgb="FF1E824C"/>
        <bgColor rgb="FF1E824C"/>
      </patternFill>
    </fill>
    <fill>
      <patternFill patternType="solid">
        <fgColor rgb="FF6D9EEB"/>
        <bgColor rgb="FF6D9EEB"/>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s>
  <borders count="16">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466">
    <xf borderId="0" fillId="0" fontId="0" numFmtId="0" xfId="0" applyAlignment="1" applyFont="1">
      <alignment readingOrder="0" shrinkToFit="0" vertical="bottom" wrapText="1"/>
    </xf>
    <xf borderId="0" fillId="0" fontId="1" numFmtId="0" xfId="0" applyAlignment="1" applyFont="1">
      <alignment horizontal="center"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1" fillId="0" fontId="2" numFmtId="0" xfId="0" applyAlignment="1" applyBorder="1" applyFont="1">
      <alignment shrinkToFit="0" wrapText="1"/>
    </xf>
    <xf borderId="2" fillId="2" fontId="1" numFmtId="0" xfId="0" applyAlignment="1" applyBorder="1" applyFill="1" applyFont="1">
      <alignment horizontal="center" readingOrder="0" shrinkToFit="0" vertical="bottom" wrapText="1"/>
    </xf>
    <xf borderId="3" fillId="0" fontId="2" numFmtId="0" xfId="0" applyAlignment="1" applyBorder="1" applyFont="1">
      <alignment shrinkToFit="0" wrapText="1"/>
    </xf>
    <xf borderId="4" fillId="0" fontId="2" numFmtId="0" xfId="0" applyAlignment="1" applyBorder="1" applyFont="1">
      <alignment shrinkToFit="0" wrapText="1"/>
    </xf>
    <xf borderId="5" fillId="3" fontId="1" numFmtId="0" xfId="0" applyAlignment="1" applyBorder="1" applyFill="1" applyFont="1">
      <alignment horizontal="center" readingOrder="0" shrinkToFit="0" vertical="center" wrapText="1"/>
    </xf>
    <xf borderId="2" fillId="4" fontId="1" numFmtId="0" xfId="0" applyAlignment="1" applyBorder="1" applyFill="1" applyFont="1">
      <alignment horizontal="right" readingOrder="0" shrinkToFit="0" vertical="center" wrapText="1"/>
    </xf>
    <xf borderId="5" fillId="5" fontId="1" numFmtId="0" xfId="0" applyAlignment="1" applyBorder="1" applyFill="1" applyFont="1">
      <alignment horizontal="left" readingOrder="0" shrinkToFit="0" vertical="center" wrapText="1"/>
    </xf>
    <xf borderId="6" fillId="3" fontId="2" numFmtId="0" xfId="0" applyAlignment="1" applyBorder="1" applyFont="1">
      <alignment horizontal="center" readingOrder="0" shrinkToFit="0" vertical="center" wrapText="1"/>
    </xf>
    <xf borderId="7" fillId="4" fontId="2" numFmtId="0" xfId="0" applyAlignment="1" applyBorder="1" applyFont="1">
      <alignment horizontal="center" shrinkToFit="0" vertical="center" wrapText="1"/>
    </xf>
    <xf borderId="8" fillId="4" fontId="2" numFmtId="0" xfId="0" applyAlignment="1" applyBorder="1" applyFont="1">
      <alignment horizontal="center" shrinkToFit="0" vertical="center" wrapText="1"/>
    </xf>
    <xf borderId="6" fillId="5" fontId="2" numFmtId="0" xfId="0" applyAlignment="1" applyBorder="1" applyFont="1">
      <alignment horizontal="center" shrinkToFit="0" vertical="center" wrapText="1"/>
    </xf>
    <xf borderId="9" fillId="0" fontId="2" numFmtId="0" xfId="0" applyAlignment="1" applyBorder="1" applyFont="1">
      <alignment shrinkToFit="0" wrapText="1"/>
    </xf>
    <xf borderId="10" fillId="4" fontId="2" numFmtId="0" xfId="0" applyAlignment="1" applyBorder="1" applyFont="1">
      <alignment horizontal="center" readingOrder="0" shrinkToFit="0" vertical="center" wrapText="1"/>
    </xf>
    <xf borderId="11" fillId="4" fontId="2" numFmtId="0" xfId="0" applyAlignment="1" applyBorder="1" applyFont="1">
      <alignment horizontal="center" shrinkToFit="0" vertical="center" wrapText="1"/>
    </xf>
    <xf borderId="9" fillId="5" fontId="2" numFmtId="0" xfId="0" applyAlignment="1" applyBorder="1" applyFont="1">
      <alignment horizontal="center" shrinkToFit="0" vertical="center" wrapText="1"/>
    </xf>
    <xf borderId="10" fillId="4" fontId="2" numFmtId="0" xfId="0" applyAlignment="1" applyBorder="1" applyFont="1">
      <alignment horizontal="center" shrinkToFit="0" vertical="center" wrapText="1"/>
    </xf>
    <xf borderId="11" fillId="0" fontId="2" numFmtId="0" xfId="0" applyAlignment="1" applyBorder="1" applyFont="1">
      <alignment shrinkToFit="0" wrapText="1"/>
    </xf>
    <xf borderId="9" fillId="5" fontId="2" numFmtId="0" xfId="0" applyAlignment="1" applyBorder="1" applyFont="1">
      <alignment horizontal="center" readingOrder="0" shrinkToFit="0" vertical="center" wrapText="1"/>
    </xf>
    <xf borderId="12" fillId="5" fontId="2" numFmtId="0" xfId="0" applyAlignment="1" applyBorder="1" applyFont="1">
      <alignment horizontal="center" shrinkToFit="0" vertical="center" wrapText="1"/>
    </xf>
    <xf borderId="11" fillId="4" fontId="2" numFmtId="0" xfId="0" applyAlignment="1" applyBorder="1" applyFont="1">
      <alignment horizontal="center" readingOrder="0" shrinkToFit="0" vertical="center" wrapText="1"/>
    </xf>
    <xf borderId="5" fillId="5" fontId="2" numFmtId="0" xfId="0" applyAlignment="1" applyBorder="1" applyFont="1">
      <alignment horizontal="center" shrinkToFit="0" vertical="center" wrapText="1"/>
    </xf>
    <xf borderId="12" fillId="0" fontId="2" numFmtId="0" xfId="0" applyAlignment="1" applyBorder="1" applyFont="1">
      <alignment shrinkToFit="0" wrapText="1"/>
    </xf>
    <xf borderId="13" fillId="4" fontId="2" numFmtId="0" xfId="0" applyAlignment="1" applyBorder="1" applyFont="1">
      <alignment horizontal="center" shrinkToFit="0" vertical="center" wrapText="1"/>
    </xf>
    <xf borderId="14" fillId="0" fontId="2" numFmtId="0" xfId="0" applyAlignment="1" applyBorder="1" applyFont="1">
      <alignment shrinkToFit="0" wrapText="1"/>
    </xf>
    <xf borderId="12" fillId="5" fontId="2" numFmtId="0" xfId="0" applyAlignment="1" applyBorder="1" applyFont="1">
      <alignment horizontal="center" readingOrder="0" shrinkToFit="0" vertical="center" wrapText="1"/>
    </xf>
    <xf borderId="8" fillId="0" fontId="2" numFmtId="0" xfId="0" applyAlignment="1" applyBorder="1" applyFont="1">
      <alignment shrinkToFit="0" wrapText="1"/>
    </xf>
    <xf borderId="13" fillId="0" fontId="2" numFmtId="0" xfId="0" applyAlignment="1" applyBorder="1" applyFont="1">
      <alignment shrinkToFit="0" wrapText="1"/>
    </xf>
    <xf borderId="7" fillId="4" fontId="2" numFmtId="0" xfId="0" applyAlignment="1" applyBorder="1" applyFont="1">
      <alignment horizontal="center" readingOrder="0" shrinkToFit="0" vertical="center" wrapText="1"/>
    </xf>
    <xf borderId="5" fillId="3" fontId="2" numFmtId="0" xfId="0" applyAlignment="1" applyBorder="1" applyFont="1">
      <alignment horizontal="center" readingOrder="0" shrinkToFit="0" vertical="center" wrapText="1"/>
    </xf>
    <xf borderId="2" fillId="4" fontId="2" numFmtId="0" xfId="0" applyAlignment="1" applyBorder="1" applyFont="1">
      <alignment horizontal="center" shrinkToFit="0" vertical="center" wrapText="1"/>
    </xf>
    <xf borderId="5" fillId="5" fontId="2" numFmtId="0" xfId="0" applyAlignment="1" applyBorder="1" applyFont="1">
      <alignment horizontal="center" readingOrder="0" shrinkToFit="0" vertical="center" wrapText="1"/>
    </xf>
    <xf borderId="1" fillId="0" fontId="2" numFmtId="49" xfId="0" applyAlignment="1" applyBorder="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right" shrinkToFit="0" vertical="bottom" wrapText="1"/>
    </xf>
    <xf borderId="0" fillId="0" fontId="1" numFmtId="49" xfId="0" applyAlignment="1" applyFont="1" applyNumberFormat="1">
      <alignment horizontal="center" readingOrder="0" shrinkToFit="0" vertical="center" wrapText="1"/>
    </xf>
    <xf borderId="11" fillId="0" fontId="1" numFmtId="0" xfId="0" applyAlignment="1" applyBorder="1" applyFont="1">
      <alignment horizontal="center" readingOrder="0" shrinkToFit="0" vertical="bottom" wrapText="1"/>
    </xf>
    <xf borderId="6" fillId="5" fontId="1" numFmtId="0" xfId="0" applyAlignment="1" applyBorder="1" applyFont="1">
      <alignment horizontal="center" readingOrder="0" shrinkToFit="0" vertical="bottom" wrapText="1"/>
    </xf>
    <xf borderId="6" fillId="4" fontId="1" numFmtId="49" xfId="0" applyAlignment="1" applyBorder="1" applyFont="1" applyNumberFormat="1">
      <alignment horizontal="center" readingOrder="0" shrinkToFit="0" vertical="center" wrapText="1"/>
    </xf>
    <xf borderId="7" fillId="6" fontId="1" numFmtId="0" xfId="0" applyAlignment="1" applyBorder="1" applyFill="1" applyFont="1">
      <alignment horizontal="center" readingOrder="0" shrinkToFit="0" vertical="bottom" wrapText="1"/>
    </xf>
    <xf borderId="15" fillId="6" fontId="1" numFmtId="0" xfId="0" applyAlignment="1" applyBorder="1" applyFont="1">
      <alignment horizontal="center" readingOrder="0" shrinkToFit="0" vertical="bottom" wrapText="1"/>
    </xf>
    <xf borderId="15" fillId="6" fontId="1" numFmtId="49" xfId="0" applyAlignment="1" applyBorder="1" applyFont="1" applyNumberFormat="1">
      <alignment horizontal="center" readingOrder="0" shrinkToFit="0" vertical="bottom" wrapText="1"/>
    </xf>
    <xf borderId="0" fillId="3" fontId="1" numFmtId="49" xfId="0" applyAlignment="1" applyFont="1" applyNumberFormat="1">
      <alignment horizontal="center" readingOrder="0" shrinkToFit="0" vertical="bottom" wrapText="1"/>
    </xf>
    <xf borderId="11" fillId="0" fontId="1" numFmtId="0" xfId="0" applyAlignment="1" applyBorder="1" applyFont="1">
      <alignment horizontal="center" shrinkToFit="0" vertical="bottom" wrapText="1"/>
    </xf>
    <xf borderId="9" fillId="0" fontId="2" numFmtId="49" xfId="0" applyAlignment="1" applyBorder="1" applyFont="1" applyNumberFormat="1">
      <alignment shrinkToFit="0" wrapText="1"/>
    </xf>
    <xf borderId="10" fillId="0" fontId="2" numFmtId="0" xfId="0" applyAlignment="1" applyBorder="1" applyFont="1">
      <alignment shrinkToFit="0" wrapText="1"/>
    </xf>
    <xf borderId="0" fillId="0" fontId="2" numFmtId="49" xfId="0" applyAlignment="1" applyFont="1" applyNumberFormat="1">
      <alignment shrinkToFit="0" wrapText="1"/>
    </xf>
    <xf borderId="0" fillId="0" fontId="1" numFmtId="49" xfId="0" applyAlignment="1" applyFont="1" applyNumberFormat="1">
      <alignment horizontal="center" shrinkToFit="0" vertical="center" wrapText="1"/>
    </xf>
    <xf borderId="12" fillId="0" fontId="2" numFmtId="49" xfId="0" applyAlignment="1" applyBorder="1" applyFont="1" applyNumberFormat="1">
      <alignment shrinkToFit="0" wrapText="1"/>
    </xf>
    <xf borderId="1" fillId="0" fontId="2" numFmtId="49" xfId="0" applyAlignment="1" applyBorder="1" applyFont="1" applyNumberFormat="1">
      <alignment shrinkToFit="0" wrapText="1"/>
    </xf>
    <xf borderId="0" fillId="0" fontId="1" numFmtId="0" xfId="0" applyAlignment="1" applyFont="1">
      <alignment horizontal="center" shrinkToFit="0" vertical="center" wrapText="1"/>
    </xf>
    <xf borderId="15" fillId="0" fontId="2" numFmtId="0" xfId="0" applyAlignment="1" applyBorder="1" applyFont="1">
      <alignment shrinkToFit="0" wrapText="1"/>
    </xf>
    <xf borderId="0" fillId="5" fontId="2" numFmtId="0" xfId="0" applyAlignment="1" applyFont="1">
      <alignment readingOrder="0" shrinkToFit="0" wrapText="1"/>
    </xf>
    <xf borderId="0" fillId="7" fontId="2" numFmtId="49" xfId="0" applyAlignment="1" applyFill="1" applyFont="1" applyNumberFormat="1">
      <alignment shrinkToFit="0" wrapText="1"/>
    </xf>
    <xf borderId="0" fillId="4" fontId="2" numFmtId="49" xfId="0" applyAlignment="1" applyFont="1" applyNumberFormat="1">
      <alignment readingOrder="0" shrinkToFit="0" wrapText="1"/>
    </xf>
    <xf borderId="0" fillId="6" fontId="2" numFmtId="49" xfId="0" applyAlignment="1" applyFont="1" applyNumberFormat="1">
      <alignment readingOrder="0" shrinkToFit="0" wrapText="1"/>
    </xf>
    <xf borderId="0" fillId="0" fontId="2" numFmtId="49" xfId="0" applyAlignment="1" applyFont="1" applyNumberFormat="1">
      <alignment readingOrder="0" shrinkToFit="0" wrapText="1"/>
    </xf>
    <xf borderId="0" fillId="3" fontId="2" numFmtId="49" xfId="0" applyAlignment="1" applyFont="1" applyNumberFormat="1">
      <alignment readingOrder="0" shrinkToFit="0" wrapText="1"/>
    </xf>
    <xf borderId="0" fillId="0" fontId="2" numFmtId="0" xfId="0" applyAlignment="1" applyFont="1">
      <alignment horizontal="left" readingOrder="0" shrinkToFit="0" vertical="center" wrapText="1"/>
    </xf>
    <xf borderId="0" fillId="0" fontId="2" numFmtId="49" xfId="0" applyAlignment="1" applyFont="1" applyNumberFormat="1">
      <alignment horizontal="center" shrinkToFit="0" vertical="center" wrapText="1"/>
    </xf>
    <xf borderId="5" fillId="5" fontId="1" numFmtId="49" xfId="0" applyAlignment="1" applyBorder="1" applyFont="1" applyNumberFormat="1">
      <alignment horizontal="center" readingOrder="0" shrinkToFit="0" vertical="center" wrapText="1"/>
    </xf>
    <xf borderId="7" fillId="6" fontId="1" numFmtId="49" xfId="0" applyAlignment="1" applyBorder="1" applyFont="1" applyNumberFormat="1">
      <alignment horizontal="center" readingOrder="0" shrinkToFit="0" vertical="center" wrapText="1"/>
    </xf>
    <xf borderId="5" fillId="3" fontId="1" numFmtId="49" xfId="0" applyAlignment="1" applyBorder="1" applyFont="1" applyNumberFormat="1">
      <alignment horizontal="center" readingOrder="0" shrinkToFit="0" vertical="center" wrapText="1"/>
    </xf>
    <xf borderId="10" fillId="7" fontId="1" numFmtId="49" xfId="0" applyAlignment="1" applyBorder="1" applyFont="1" applyNumberFormat="1">
      <alignment horizontal="center" shrinkToFit="0" vertical="center" wrapText="1"/>
    </xf>
    <xf borderId="0" fillId="0" fontId="1" numFmtId="0" xfId="0" applyAlignment="1" applyFont="1">
      <alignment shrinkToFit="0" wrapText="1"/>
    </xf>
    <xf borderId="0" fillId="5" fontId="2" numFmtId="49" xfId="0" applyAlignment="1" applyFont="1" applyNumberFormat="1">
      <alignment readingOrder="0" shrinkToFit="0" wrapText="1"/>
    </xf>
    <xf borderId="0" fillId="8" fontId="2" numFmtId="49" xfId="0" applyAlignment="1" applyFill="1" applyFont="1" applyNumberFormat="1">
      <alignment shrinkToFit="0" wrapText="1"/>
    </xf>
    <xf borderId="0" fillId="0" fontId="2" numFmtId="0" xfId="0" applyAlignment="1" applyFont="1">
      <alignment horizontal="center" readingOrder="0" shrinkToFit="0" vertical="bottom" wrapText="1"/>
    </xf>
    <xf borderId="0" fillId="0" fontId="2" numFmtId="49" xfId="0" applyAlignment="1" applyFont="1" applyNumberFormat="1">
      <alignment horizontal="left" readingOrder="0" shrinkToFit="0" vertical="center" wrapText="1"/>
    </xf>
    <xf borderId="5" fillId="4" fontId="1" numFmtId="49" xfId="0" applyAlignment="1" applyBorder="1" applyFont="1" applyNumberFormat="1">
      <alignment horizontal="center" readingOrder="0" shrinkToFit="0" vertical="center" wrapText="1"/>
    </xf>
    <xf borderId="5" fillId="6" fontId="1" numFmtId="49" xfId="0" applyAlignment="1" applyBorder="1" applyFont="1" applyNumberFormat="1">
      <alignment horizontal="center" readingOrder="0" shrinkToFit="0" vertical="center" wrapText="1"/>
    </xf>
    <xf borderId="0" fillId="7" fontId="1" numFmtId="49" xfId="0" applyAlignment="1" applyFont="1" applyNumberFormat="1">
      <alignment horizontal="center" shrinkToFit="0" vertical="center" wrapText="1"/>
    </xf>
    <xf borderId="0" fillId="0" fontId="2" numFmtId="0" xfId="0" applyAlignment="1" applyFont="1">
      <alignment horizontal="center" shrinkToFit="0" vertical="center" wrapText="1"/>
    </xf>
    <xf borderId="2" fillId="6" fontId="1" numFmtId="49" xfId="0" applyAlignment="1" applyBorder="1" applyFont="1" applyNumberFormat="1">
      <alignment horizontal="center" readingOrder="0" shrinkToFit="0" vertical="center" wrapText="1"/>
    </xf>
    <xf borderId="3" fillId="6" fontId="1" numFmtId="49" xfId="0" applyAlignment="1" applyBorder="1" applyFont="1" applyNumberFormat="1">
      <alignment horizontal="center" readingOrder="0" shrinkToFit="0" vertical="center" wrapText="1"/>
    </xf>
    <xf borderId="4" fillId="6" fontId="1" numFmtId="49" xfId="0" applyAlignment="1" applyBorder="1" applyFont="1" applyNumberFormat="1">
      <alignment horizontal="center" readingOrder="0" shrinkToFit="0" vertical="center" wrapText="1"/>
    </xf>
    <xf borderId="2" fillId="3" fontId="1" numFmtId="49" xfId="0" applyAlignment="1" applyBorder="1" applyFont="1" applyNumberFormat="1">
      <alignment horizontal="center" readingOrder="0" shrinkToFit="0" vertical="center" wrapText="1"/>
    </xf>
    <xf borderId="5" fillId="9" fontId="1" numFmtId="49" xfId="0" applyAlignment="1" applyBorder="1" applyFill="1" applyFont="1" applyNumberFormat="1">
      <alignment horizontal="center" readingOrder="0" shrinkToFit="0" vertical="center" wrapText="1"/>
    </xf>
    <xf borderId="13" fillId="7" fontId="1" numFmtId="49" xfId="0" applyAlignment="1" applyBorder="1" applyFont="1" applyNumberFormat="1">
      <alignment horizontal="center" shrinkToFit="0" vertical="center" wrapText="1"/>
    </xf>
    <xf borderId="15" fillId="0" fontId="2" numFmtId="49" xfId="0" applyAlignment="1" applyBorder="1" applyFont="1" applyNumberFormat="1">
      <alignment shrinkToFit="0" wrapText="1"/>
    </xf>
    <xf borderId="0" fillId="6"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9" fontId="2" numFmtId="49" xfId="0" applyAlignment="1" applyFont="1" applyNumberFormat="1">
      <alignment readingOrder="0" shrinkToFit="0" wrapText="1"/>
    </xf>
    <xf borderId="0" fillId="7" fontId="1" numFmtId="49" xfId="0" applyAlignment="1" applyFont="1" applyNumberFormat="1">
      <alignment horizontal="center" readingOrder="0" shrinkToFit="0" vertical="center" wrapText="1"/>
    </xf>
    <xf borderId="0" fillId="0" fontId="3" numFmtId="0" xfId="0" applyAlignment="1" applyFont="1">
      <alignment horizontal="center" shrinkToFit="0" wrapText="1"/>
    </xf>
    <xf borderId="1" fillId="0" fontId="4" numFmtId="49" xfId="0" applyAlignment="1" applyBorder="1" applyFont="1" applyNumberFormat="1">
      <alignment horizontal="center" shrinkToFit="0" wrapText="1"/>
    </xf>
    <xf borderId="0" fillId="0" fontId="4" numFmtId="49" xfId="0" applyAlignment="1" applyFont="1" applyNumberFormat="1">
      <alignment shrinkToFit="0" vertical="bottom" wrapText="1"/>
    </xf>
    <xf borderId="0" fillId="0" fontId="3" numFmtId="49" xfId="0" applyAlignment="1" applyFont="1" applyNumberFormat="1">
      <alignment horizontal="center" shrinkToFit="0" wrapText="1"/>
    </xf>
    <xf borderId="11" fillId="0" fontId="3" numFmtId="0" xfId="0" applyAlignment="1" applyBorder="1" applyFont="1">
      <alignment horizontal="center" shrinkToFit="0" vertical="bottom" wrapText="1"/>
    </xf>
    <xf borderId="14" fillId="5" fontId="3" numFmtId="49" xfId="0" applyAlignment="1" applyBorder="1" applyFont="1" applyNumberFormat="1">
      <alignment horizontal="center" shrinkToFit="0" wrapText="1"/>
    </xf>
    <xf borderId="14" fillId="4" fontId="3" numFmtId="49" xfId="0" applyAlignment="1" applyBorder="1" applyFont="1" applyNumberFormat="1">
      <alignment horizontal="center" shrinkToFit="0" wrapText="1"/>
    </xf>
    <xf borderId="1" fillId="6" fontId="3" numFmtId="49" xfId="0" applyAlignment="1" applyBorder="1" applyFont="1" applyNumberFormat="1">
      <alignment horizontal="center" shrinkToFit="0" wrapText="1"/>
    </xf>
    <xf borderId="14" fillId="6" fontId="3" numFmtId="49" xfId="0" applyAlignment="1" applyBorder="1" applyFont="1" applyNumberFormat="1">
      <alignment horizontal="center" shrinkToFit="0" wrapText="1"/>
    </xf>
    <xf borderId="1" fillId="3" fontId="3" numFmtId="49" xfId="0" applyAlignment="1" applyBorder="1" applyFont="1" applyNumberFormat="1">
      <alignment horizontal="center" shrinkToFit="0" wrapText="1"/>
    </xf>
    <xf borderId="14" fillId="9" fontId="3" numFmtId="49" xfId="0" applyAlignment="1" applyBorder="1" applyFont="1" applyNumberFormat="1">
      <alignment horizontal="center" readingOrder="0" shrinkToFit="0" wrapText="1"/>
    </xf>
    <xf borderId="1" fillId="7" fontId="4" numFmtId="49" xfId="0" applyAlignment="1" applyBorder="1" applyFont="1" applyNumberFormat="1">
      <alignment shrinkToFit="0" vertical="bottom" wrapText="1"/>
    </xf>
    <xf borderId="0" fillId="7" fontId="4" numFmtId="49" xfId="0" applyAlignment="1" applyFont="1" applyNumberFormat="1">
      <alignment shrinkToFit="0" vertical="bottom" wrapText="1"/>
    </xf>
    <xf borderId="0" fillId="0" fontId="4" numFmtId="0" xfId="0" applyAlignment="1" applyFont="1">
      <alignment shrinkToFit="0" vertical="bottom" wrapText="1"/>
    </xf>
    <xf borderId="0" fillId="5" fontId="4" numFmtId="49" xfId="0" applyAlignment="1" applyFont="1" applyNumberFormat="1">
      <alignment readingOrder="0" shrinkToFit="0" vertical="bottom" wrapText="1"/>
    </xf>
    <xf borderId="0" fillId="4" fontId="4" numFmtId="49" xfId="0" applyAlignment="1" applyFont="1" applyNumberFormat="1">
      <alignment readingOrder="0" shrinkToFit="0" vertical="bottom" wrapText="1"/>
    </xf>
    <xf borderId="0" fillId="6" fontId="4" numFmtId="49" xfId="0" applyAlignment="1" applyFont="1" applyNumberFormat="1">
      <alignment shrinkToFit="0" vertical="bottom" wrapText="1"/>
    </xf>
    <xf borderId="0" fillId="3" fontId="4" numFmtId="49" xfId="0" applyAlignment="1" applyFont="1" applyNumberFormat="1">
      <alignment horizontal="center" shrinkToFit="0" vertical="bottom" wrapText="1"/>
    </xf>
    <xf borderId="0" fillId="9" fontId="4" numFmtId="49" xfId="0" applyAlignment="1" applyFont="1" applyNumberFormat="1">
      <alignment readingOrder="0" shrinkToFit="0" vertical="bottom" wrapText="1"/>
    </xf>
    <xf borderId="0" fillId="7" fontId="3" numFmtId="49" xfId="0" applyAlignment="1" applyFont="1" applyNumberFormat="1">
      <alignment horizontal="center" shrinkToFit="0" wrapText="1"/>
    </xf>
    <xf borderId="0" fillId="0" fontId="2" numFmtId="49" xfId="0" applyAlignment="1" applyFont="1" applyNumberFormat="1">
      <alignment horizontal="center" readingOrder="0" shrinkToFit="0" vertical="bottom" wrapText="1"/>
    </xf>
    <xf borderId="0" fillId="0" fontId="1" numFmtId="0" xfId="0" applyAlignment="1" applyFont="1">
      <alignment horizontal="center" readingOrder="0" shrinkToFit="0" vertical="bottom" wrapText="1"/>
    </xf>
    <xf borderId="0" fillId="5" fontId="1" numFmtId="49" xfId="0" applyAlignment="1" applyFont="1" applyNumberFormat="1">
      <alignment horizontal="center" readingOrder="0" shrinkToFit="0" vertical="bottom" wrapText="1"/>
    </xf>
    <xf borderId="0" fillId="4" fontId="1" numFmtId="49" xfId="0" applyAlignment="1" applyFont="1" applyNumberFormat="1">
      <alignment horizontal="center" readingOrder="0" shrinkToFit="0" vertical="bottom" wrapText="1"/>
    </xf>
    <xf borderId="0" fillId="6" fontId="1" numFmtId="49" xfId="0" applyAlignment="1" applyFont="1" applyNumberFormat="1">
      <alignment horizontal="center" readingOrder="0" shrinkToFit="0" vertical="bottom" wrapText="1"/>
    </xf>
    <xf borderId="0" fillId="10" fontId="1" numFmtId="49" xfId="0" applyAlignment="1" applyFill="1" applyFont="1" applyNumberFormat="1">
      <alignment horizontal="center" readingOrder="0" shrinkToFit="0" vertical="bottom" wrapText="1"/>
    </xf>
    <xf borderId="0" fillId="9"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10" fontId="2" numFmtId="49" xfId="0" applyAlignment="1" applyFont="1" applyNumberFormat="1">
      <alignment readingOrder="0" shrinkToFit="0" wrapText="1"/>
    </xf>
    <xf borderId="0" fillId="0" fontId="2" numFmtId="0" xfId="0" applyAlignment="1" applyFont="1">
      <alignment horizontal="center" shrinkToFit="0" wrapText="1"/>
    </xf>
    <xf borderId="0" fillId="0" fontId="2" numFmtId="49" xfId="0" applyAlignment="1" applyFont="1" applyNumberFormat="1">
      <alignment horizontal="center" shrinkToFit="0" wrapText="1"/>
    </xf>
    <xf borderId="0" fillId="0" fontId="2" numFmtId="49" xfId="0" applyAlignment="1" applyFont="1" applyNumberFormat="1">
      <alignment horizontal="center" readingOrder="0" shrinkToFit="0" wrapText="1"/>
    </xf>
    <xf borderId="0" fillId="10" fontId="2" numFmtId="0" xfId="0" applyAlignment="1" applyFont="1">
      <alignment horizontal="center" readingOrder="0" shrinkToFit="0" wrapText="1"/>
    </xf>
    <xf borderId="0" fillId="11" fontId="2" numFmtId="49" xfId="0" applyAlignment="1" applyFill="1" applyFont="1" applyNumberFormat="1">
      <alignment horizontal="center" readingOrder="0" shrinkToFit="0" wrapText="1"/>
    </xf>
    <xf borderId="0" fillId="5" fontId="2" numFmtId="49" xfId="0" applyAlignment="1" applyFont="1" applyNumberFormat="1">
      <alignment horizontal="center" readingOrder="0" shrinkToFit="0" wrapText="1"/>
    </xf>
    <xf borderId="0" fillId="3" fontId="2" numFmtId="49" xfId="0" applyAlignment="1" applyFont="1" applyNumberFormat="1">
      <alignment horizontal="center" readingOrder="0" shrinkToFit="0" wrapText="1"/>
    </xf>
    <xf borderId="0" fillId="6" fontId="2" numFmtId="49" xfId="0" applyAlignment="1" applyFont="1" applyNumberFormat="1">
      <alignment horizontal="center" readingOrder="0" shrinkToFit="0" wrapText="1"/>
    </xf>
    <xf borderId="0" fillId="10" fontId="2" numFmtId="0" xfId="0" applyAlignment="1" applyFont="1">
      <alignment readingOrder="0" shrinkToFit="0" wrapText="1"/>
    </xf>
    <xf borderId="0" fillId="11" fontId="2" numFmtId="49" xfId="0" applyAlignment="1" applyFont="1" applyNumberFormat="1">
      <alignment readingOrder="0" shrinkToFit="0" wrapText="1"/>
    </xf>
    <xf borderId="2" fillId="12" fontId="1" numFmtId="49" xfId="0" applyAlignment="1" applyBorder="1" applyFill="1" applyFont="1" applyNumberFormat="1">
      <alignment horizontal="center" readingOrder="0" shrinkToFit="0" vertical="center" wrapText="1"/>
    </xf>
    <xf borderId="3" fillId="3" fontId="1" numFmtId="49" xfId="0" applyAlignment="1" applyBorder="1" applyFont="1" applyNumberFormat="1">
      <alignment horizontal="center" readingOrder="0" shrinkToFit="0" vertical="center" wrapText="1"/>
    </xf>
    <xf borderId="0" fillId="12" fontId="2" numFmtId="0" xfId="0" applyAlignment="1" applyFont="1">
      <alignment readingOrder="0" shrinkToFit="0" wrapText="1"/>
    </xf>
    <xf borderId="14" fillId="5" fontId="3" numFmtId="49" xfId="0" applyAlignment="1" applyBorder="1" applyFont="1" applyNumberFormat="1">
      <alignment horizontal="center" readingOrder="0" shrinkToFit="0" vertical="center" wrapText="1"/>
    </xf>
    <xf borderId="14" fillId="4" fontId="3" numFmtId="49" xfId="0" applyAlignment="1" applyBorder="1" applyFont="1" applyNumberFormat="1">
      <alignment horizontal="center" shrinkToFit="0" vertical="center" wrapText="1"/>
    </xf>
    <xf borderId="1" fillId="6" fontId="3" numFmtId="49" xfId="0" applyAlignment="1" applyBorder="1" applyFont="1" applyNumberFormat="1">
      <alignment horizontal="center" shrinkToFit="0" vertical="center" wrapText="1"/>
    </xf>
    <xf borderId="14" fillId="6" fontId="3" numFmtId="49" xfId="0" applyAlignment="1" applyBorder="1" applyFont="1" applyNumberFormat="1">
      <alignment horizontal="center" shrinkToFit="0" vertical="center" wrapText="1"/>
    </xf>
    <xf borderId="1" fillId="3" fontId="3" numFmtId="49" xfId="0" applyAlignment="1" applyBorder="1" applyFont="1" applyNumberFormat="1">
      <alignment horizontal="center" shrinkToFit="0" vertical="center" wrapText="1"/>
    </xf>
    <xf borderId="14" fillId="3" fontId="3" numFmtId="49" xfId="0" applyAlignment="1" applyBorder="1" applyFont="1" applyNumberFormat="1">
      <alignment horizontal="center" shrinkToFit="0" vertical="center" wrapText="1"/>
    </xf>
    <xf borderId="14" fillId="13" fontId="3" numFmtId="49" xfId="0" applyAlignment="1" applyBorder="1" applyFill="1" applyFont="1" applyNumberFormat="1">
      <alignment horizontal="center" shrinkToFit="0" vertical="center" wrapText="1"/>
    </xf>
    <xf borderId="1" fillId="13" fontId="3" numFmtId="49" xfId="0" applyAlignment="1" applyBorder="1" applyFont="1" applyNumberFormat="1">
      <alignment horizontal="center" readingOrder="0" shrinkToFit="0" vertical="center" wrapText="1"/>
    </xf>
    <xf borderId="0" fillId="10" fontId="3" numFmtId="49" xfId="0" applyAlignment="1" applyFont="1" applyNumberFormat="1">
      <alignment horizontal="center" readingOrder="0" shrinkToFit="0" vertical="center" wrapText="1"/>
    </xf>
    <xf borderId="0" fillId="9" fontId="3" numFmtId="49" xfId="0" applyAlignment="1" applyFont="1" applyNumberFormat="1">
      <alignment horizontal="center" readingOrder="0" shrinkToFit="0" vertical="center" wrapText="1"/>
    </xf>
    <xf borderId="0" fillId="0" fontId="3" numFmtId="49" xfId="0" applyAlignment="1" applyFont="1" applyNumberFormat="1">
      <alignment horizontal="center" readingOrder="0" shrinkToFit="0" wrapText="1"/>
    </xf>
    <xf borderId="0" fillId="0" fontId="4" numFmtId="49" xfId="0" applyAlignment="1" applyFont="1" applyNumberFormat="1">
      <alignment horizontal="center" shrinkToFit="0" vertical="bottom" wrapText="1"/>
    </xf>
    <xf borderId="0" fillId="0" fontId="4" numFmtId="49" xfId="0" applyAlignment="1" applyFont="1" applyNumberFormat="1">
      <alignment readingOrder="0" shrinkToFit="0" vertical="bottom" wrapText="1"/>
    </xf>
    <xf borderId="0" fillId="3" fontId="4" numFmtId="49" xfId="0" applyAlignment="1" applyFont="1" applyNumberFormat="1">
      <alignment horizontal="center" readingOrder="0" shrinkToFit="0" vertical="bottom" wrapText="1"/>
    </xf>
    <xf borderId="0" fillId="13" fontId="4" numFmtId="49" xfId="0" applyAlignment="1" applyFont="1" applyNumberFormat="1">
      <alignment readingOrder="0" shrinkToFit="0" vertical="bottom" wrapText="1"/>
    </xf>
    <xf borderId="0" fillId="0" fontId="4" numFmtId="49" xfId="0" applyAlignment="1" applyFont="1" applyNumberFormat="1">
      <alignment horizontal="center" readingOrder="0" shrinkToFit="0" vertical="bottom" wrapText="1"/>
    </xf>
    <xf borderId="0" fillId="7" fontId="3" numFmtId="49" xfId="0" applyAlignment="1" applyFont="1" applyNumberFormat="1">
      <alignment horizontal="center" readingOrder="0" shrinkToFit="0" wrapText="1"/>
    </xf>
    <xf borderId="0" fillId="10" fontId="4" numFmtId="49" xfId="0" applyAlignment="1" applyFont="1" applyNumberFormat="1">
      <alignment horizontal="center" readingOrder="0" shrinkToFit="0" vertical="bottom" wrapText="1"/>
    </xf>
    <xf borderId="0" fillId="0" fontId="5" numFmtId="49" xfId="0" applyAlignment="1" applyFont="1" applyNumberFormat="1">
      <alignment horizontal="center" readingOrder="0" shrinkToFit="0" wrapText="1"/>
    </xf>
    <xf borderId="1" fillId="7" fontId="2" numFmtId="49" xfId="0" applyAlignment="1" applyBorder="1" applyFont="1" applyNumberFormat="1">
      <alignment horizontal="center" readingOrder="0" shrinkToFit="0" vertical="center" wrapText="1"/>
    </xf>
    <xf borderId="0" fillId="7" fontId="2" numFmtId="49" xfId="0" applyAlignment="1" applyFont="1" applyNumberFormat="1">
      <alignment horizontal="center" shrinkToFit="0" vertical="center" wrapText="1"/>
    </xf>
    <xf borderId="5" fillId="10" fontId="1" numFmtId="49" xfId="0" applyAlignment="1" applyBorder="1" applyFont="1" applyNumberFormat="1">
      <alignment horizontal="center" readingOrder="0" shrinkToFit="0" vertical="center" wrapText="1"/>
    </xf>
    <xf borderId="0" fillId="7" fontId="2" numFmtId="0" xfId="0" applyAlignment="1" applyFont="1">
      <alignment shrinkToFit="0" wrapText="1"/>
    </xf>
    <xf borderId="0" fillId="9" fontId="2" numFmtId="49" xfId="0" applyAlignment="1" applyFont="1" applyNumberFormat="1">
      <alignment shrinkToFit="0" wrapText="1"/>
    </xf>
    <xf borderId="11" fillId="0" fontId="1" numFmtId="0" xfId="0" applyAlignment="1" applyBorder="1" applyFont="1">
      <alignment horizontal="center" readingOrder="0" shrinkToFit="0" vertical="center" wrapText="1"/>
    </xf>
    <xf borderId="12" fillId="5" fontId="1" numFmtId="49" xfId="0" applyAlignment="1" applyBorder="1" applyFont="1" applyNumberFormat="1">
      <alignment horizontal="center" readingOrder="0" shrinkToFit="0" vertical="center" wrapText="1"/>
    </xf>
    <xf borderId="12" fillId="4" fontId="1" numFmtId="49" xfId="0" applyAlignment="1" applyBorder="1" applyFont="1" applyNumberFormat="1">
      <alignment horizontal="center" readingOrder="0" shrinkToFit="0" vertical="center" wrapText="1"/>
    </xf>
    <xf borderId="12" fillId="6" fontId="1" numFmtId="49" xfId="0" applyAlignment="1" applyBorder="1" applyFont="1" applyNumberFormat="1">
      <alignment horizontal="center" readingOrder="0" shrinkToFit="0" vertical="center" wrapText="1"/>
    </xf>
    <xf borderId="12" fillId="10" fontId="1" numFmtId="49" xfId="0" applyAlignment="1" applyBorder="1" applyFont="1" applyNumberFormat="1">
      <alignment horizontal="center" readingOrder="0" shrinkToFit="0" vertical="center" wrapText="1"/>
    </xf>
    <xf borderId="0" fillId="0" fontId="1" numFmtId="49" xfId="0" applyAlignment="1" applyFont="1" applyNumberFormat="1">
      <alignment horizontal="left" readingOrder="0" shrinkToFit="0" vertical="center" wrapText="1"/>
    </xf>
    <xf borderId="2" fillId="0" fontId="1" numFmtId="49" xfId="0" applyAlignment="1" applyBorder="1" applyFont="1" applyNumberFormat="1">
      <alignment horizontal="center" shrinkToFit="0" vertical="center" wrapText="1"/>
    </xf>
    <xf borderId="3" fillId="0" fontId="1" numFmtId="49" xfId="0" applyAlignment="1" applyBorder="1" applyFont="1" applyNumberFormat="1">
      <alignment horizontal="center" shrinkToFit="0" vertical="center" wrapText="1"/>
    </xf>
    <xf borderId="15" fillId="0" fontId="1" numFmtId="0" xfId="0" applyAlignment="1" applyBorder="1" applyFont="1">
      <alignment shrinkToFit="0" wrapText="1"/>
    </xf>
    <xf borderId="2" fillId="5" fontId="1" numFmtId="49" xfId="0" applyAlignment="1" applyBorder="1" applyFont="1" applyNumberFormat="1">
      <alignment horizontal="center" readingOrder="0" shrinkToFit="0" vertical="center" wrapText="1"/>
    </xf>
    <xf borderId="3" fillId="4" fontId="1" numFmtId="49" xfId="0" applyAlignment="1" applyBorder="1" applyFont="1" applyNumberFormat="1">
      <alignment horizontal="center" readingOrder="0" shrinkToFit="0" vertical="center" wrapText="1"/>
    </xf>
    <xf borderId="0" fillId="9" fontId="1" numFmtId="0" xfId="0" applyAlignment="1" applyFont="1">
      <alignment horizontal="center" readingOrder="0" shrinkToFit="0" vertical="center" wrapText="1"/>
    </xf>
    <xf borderId="0" fillId="10" fontId="1" numFmtId="0" xfId="0" applyAlignment="1" applyFont="1">
      <alignment horizontal="center" readingOrder="0" shrinkToFit="0" vertical="center" wrapText="1"/>
    </xf>
    <xf borderId="0" fillId="0" fontId="1" numFmtId="49" xfId="0" applyAlignment="1" applyFont="1" applyNumberFormat="1">
      <alignment readingOrder="0" shrinkToFit="0" vertical="center" wrapText="1"/>
    </xf>
    <xf borderId="1" fillId="0" fontId="1" numFmtId="0" xfId="0" applyAlignment="1" applyBorder="1" applyFont="1">
      <alignment shrinkToFit="0" wrapText="1"/>
    </xf>
    <xf borderId="0" fillId="0" fontId="1" numFmtId="49" xfId="0" applyAlignment="1" applyFont="1" applyNumberFormat="1">
      <alignment shrinkToFit="0" vertical="center" wrapText="1"/>
    </xf>
    <xf borderId="5" fillId="0" fontId="2" numFmtId="0" xfId="0" applyAlignment="1" applyBorder="1" applyFont="1">
      <alignment shrinkToFit="0" wrapText="1"/>
    </xf>
    <xf borderId="2" fillId="0" fontId="1" numFmtId="49" xfId="0" applyAlignment="1" applyBorder="1" applyFont="1" applyNumberFormat="1">
      <alignment shrinkToFit="0" wrapText="1"/>
    </xf>
    <xf borderId="3" fillId="0" fontId="1" numFmtId="49" xfId="0" applyAlignment="1" applyBorder="1" applyFont="1" applyNumberFormat="1">
      <alignment shrinkToFit="0" wrapText="1"/>
    </xf>
    <xf borderId="3" fillId="0" fontId="1" numFmtId="0" xfId="0" applyAlignment="1" applyBorder="1" applyFont="1">
      <alignment shrinkToFit="0" wrapText="1"/>
    </xf>
    <xf borderId="0" fillId="0" fontId="1" numFmtId="49" xfId="0" applyAlignment="1" applyFont="1" applyNumberFormat="1">
      <alignment shrinkToFit="0" wrapText="1"/>
    </xf>
    <xf borderId="4" fillId="9" fontId="1" numFmtId="49" xfId="0" applyAlignment="1" applyBorder="1" applyFont="1" applyNumberFormat="1">
      <alignment horizontal="center" shrinkToFit="0" vertical="center" wrapText="1"/>
    </xf>
    <xf borderId="5" fillId="10" fontId="1"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6" fillId="5" fontId="1" numFmtId="49" xfId="0" applyAlignment="1" applyBorder="1" applyFont="1" applyNumberFormat="1">
      <alignment horizontal="center" readingOrder="0" shrinkToFit="0" vertical="center" wrapText="1"/>
    </xf>
    <xf borderId="8" fillId="9" fontId="1" numFmtId="49" xfId="0" applyAlignment="1" applyBorder="1" applyFont="1" applyNumberFormat="1">
      <alignment horizontal="center" shrinkToFit="0" vertical="center" wrapText="1"/>
    </xf>
    <xf borderId="6" fillId="10" fontId="1" numFmtId="0" xfId="0" applyAlignment="1" applyBorder="1" applyFont="1">
      <alignment horizontal="center" readingOrder="0" shrinkToFit="0" vertical="center" wrapText="1"/>
    </xf>
    <xf borderId="13" fillId="0" fontId="2" numFmtId="49" xfId="0" applyAlignment="1" applyBorder="1" applyFont="1" applyNumberFormat="1">
      <alignment shrinkToFit="0" wrapText="1"/>
    </xf>
    <xf borderId="4" fillId="9" fontId="1" numFmtId="49" xfId="0" applyAlignment="1" applyBorder="1" applyFont="1" applyNumberFormat="1">
      <alignment horizontal="center" readingOrder="0" shrinkToFit="0" vertical="center" wrapText="1"/>
    </xf>
    <xf borderId="0" fillId="9" fontId="1" numFmtId="49" xfId="0" applyAlignment="1" applyFont="1" applyNumberFormat="1">
      <alignment readingOrder="0" shrinkToFit="0" wrapText="1"/>
    </xf>
    <xf borderId="2" fillId="0" fontId="2" numFmtId="49" xfId="0" applyAlignment="1" applyBorder="1" applyFont="1" applyNumberFormat="1">
      <alignment shrinkToFit="0" wrapText="1"/>
    </xf>
    <xf borderId="3" fillId="0" fontId="2" numFmtId="49" xfId="0" applyAlignment="1" applyBorder="1" applyFont="1" applyNumberFormat="1">
      <alignment shrinkToFit="0" wrapText="1"/>
    </xf>
    <xf borderId="5" fillId="14" fontId="1" numFmtId="49" xfId="0" applyAlignment="1" applyBorder="1" applyFill="1" applyFont="1" applyNumberFormat="1">
      <alignment horizontal="center" readingOrder="0" shrinkToFit="0" vertical="center" wrapText="1"/>
    </xf>
    <xf borderId="5" fillId="9" fontId="5" numFmtId="0" xfId="0" applyAlignment="1" applyBorder="1" applyFont="1">
      <alignment readingOrder="0" shrinkToFit="0" wrapText="1"/>
    </xf>
    <xf borderId="0" fillId="0" fontId="1" numFmtId="49" xfId="0" applyAlignment="1" applyFont="1" applyNumberFormat="1">
      <alignment readingOrder="0" shrinkToFit="0" wrapText="1"/>
    </xf>
    <xf borderId="0" fillId="9" fontId="1" numFmtId="49" xfId="0" applyAlignment="1" applyFont="1" applyNumberFormat="1">
      <alignment horizontal="center" readingOrder="0" shrinkToFit="0" vertical="center" wrapText="1"/>
    </xf>
    <xf borderId="11" fillId="0" fontId="2" numFmtId="49" xfId="0" applyAlignment="1" applyBorder="1" applyFont="1" applyNumberFormat="1">
      <alignment shrinkToFit="0" wrapText="1"/>
    </xf>
    <xf borderId="2" fillId="0" fontId="2" numFmtId="0" xfId="0" applyAlignment="1" applyBorder="1" applyFont="1">
      <alignment readingOrder="0" shrinkToFit="0" wrapText="1"/>
    </xf>
    <xf borderId="2" fillId="0" fontId="2" numFmtId="0" xfId="0" applyAlignment="1" applyBorder="1" applyFont="1">
      <alignment shrinkToFit="0" wrapText="1"/>
    </xf>
    <xf borderId="0" fillId="10" fontId="1" numFmtId="49" xfId="0" applyAlignment="1" applyFont="1" applyNumberFormat="1">
      <alignment horizontal="center" readingOrder="0" shrinkToFit="0" vertical="center" wrapText="1"/>
    </xf>
    <xf borderId="2" fillId="0" fontId="2" numFmtId="0" xfId="0" applyAlignment="1" applyBorder="1" applyFont="1">
      <alignment readingOrder="0" shrinkToFit="0" wrapText="1"/>
    </xf>
    <xf borderId="2"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5" fillId="0" fontId="2" numFmtId="0" xfId="0" applyAlignment="1" applyBorder="1" applyFont="1">
      <alignment shrinkToFit="0" vertical="center" wrapText="1"/>
    </xf>
    <xf borderId="0" fillId="0" fontId="2" numFmtId="0" xfId="0" applyAlignment="1" applyFont="1">
      <alignment shrinkToFit="0" vertical="center" wrapText="1"/>
    </xf>
    <xf borderId="2" fillId="7" fontId="2" numFmtId="0" xfId="0" applyAlignment="1" applyBorder="1" applyFont="1">
      <alignment readingOrder="0" shrinkToFit="0" wrapText="1"/>
    </xf>
    <xf borderId="2" fillId="7" fontId="2" numFmtId="0" xfId="0" applyAlignment="1" applyBorder="1" applyFont="1">
      <alignment shrinkToFit="0" wrapText="1"/>
    </xf>
    <xf borderId="0" fillId="7" fontId="2" numFmtId="0" xfId="0" applyAlignment="1" applyFont="1">
      <alignment readingOrder="0" shrinkToFit="0" wrapText="1"/>
    </xf>
    <xf borderId="0" fillId="9" fontId="1" numFmtId="49" xfId="0" applyAlignment="1" applyFont="1" applyNumberFormat="1">
      <alignment horizontal="center" shrinkToFit="0" vertical="center" wrapText="1"/>
    </xf>
    <xf borderId="0" fillId="0" fontId="5" numFmtId="0" xfId="0" applyAlignment="1" applyFont="1">
      <alignment horizontal="center" readingOrder="0" shrinkToFit="0" wrapText="1"/>
    </xf>
    <xf borderId="1" fillId="0" fontId="2" numFmtId="0" xfId="0" applyAlignment="1" applyBorder="1" applyFont="1">
      <alignment horizontal="center" shrinkToFit="0" vertical="bottom"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0" fontId="5" numFmtId="0" xfId="0" applyAlignment="1" applyBorder="1" applyFont="1">
      <alignment horizontal="center" readingOrder="0" shrinkToFit="0" wrapText="1"/>
    </xf>
    <xf borderId="5" fillId="0" fontId="2" numFmtId="0" xfId="0" applyAlignment="1" applyBorder="1" applyFont="1">
      <alignment horizontal="center" shrinkToFit="0" vertical="bottom" wrapText="1"/>
    </xf>
    <xf borderId="5" fillId="0" fontId="1" numFmtId="0" xfId="0" applyAlignment="1" applyBorder="1" applyFont="1">
      <alignment readingOrder="0" shrinkToFit="0" wrapText="1"/>
    </xf>
    <xf borderId="5" fillId="5" fontId="2" numFmtId="0" xfId="0" applyAlignment="1" applyBorder="1" applyFont="1">
      <alignment horizontal="center" readingOrder="0" shrinkToFit="0" vertical="bottom" wrapText="1"/>
    </xf>
    <xf borderId="5" fillId="5" fontId="2" numFmtId="0" xfId="0" applyAlignment="1" applyBorder="1" applyFont="1">
      <alignment readingOrder="0" shrinkToFit="0" wrapText="1"/>
    </xf>
    <xf borderId="5" fillId="0" fontId="2" numFmtId="0" xfId="0" applyAlignment="1" applyBorder="1" applyFont="1">
      <alignment readingOrder="0" shrinkToFit="0" wrapText="1"/>
    </xf>
    <xf borderId="5" fillId="0" fontId="1" numFmtId="0" xfId="0" applyAlignment="1" applyBorder="1" applyFont="1">
      <alignment shrinkToFit="0" wrapText="1"/>
    </xf>
    <xf borderId="5" fillId="0" fontId="6" numFmtId="0" xfId="0" applyAlignment="1" applyBorder="1" applyFont="1">
      <alignment readingOrder="0" shrinkToFit="0" wrapText="1"/>
    </xf>
    <xf borderId="5" fillId="0" fontId="6" numFmtId="0" xfId="0" applyAlignment="1" applyBorder="1" applyFont="1">
      <alignment horizontal="right" readingOrder="0" shrinkToFit="0" wrapText="1"/>
    </xf>
    <xf borderId="5" fillId="0" fontId="5" numFmtId="0" xfId="0" applyAlignment="1" applyBorder="1" applyFont="1">
      <alignment readingOrder="0" shrinkToFit="0" wrapText="1"/>
    </xf>
    <xf borderId="5" fillId="5" fontId="7" numFmtId="0" xfId="0" applyAlignment="1" applyBorder="1" applyFont="1">
      <alignment horizontal="center" readingOrder="0" shrinkToFit="0" vertical="bottom" wrapText="1"/>
    </xf>
    <xf borderId="5" fillId="5" fontId="7" numFmtId="0" xfId="0" applyAlignment="1" applyBorder="1" applyFont="1">
      <alignment readingOrder="0" shrinkToFit="0" wrapText="1"/>
    </xf>
    <xf borderId="0" fillId="0" fontId="1" numFmtId="0" xfId="0" applyAlignment="1" applyFont="1">
      <alignment readingOrder="0" shrinkToFit="0" wrapText="1"/>
    </xf>
    <xf borderId="0" fillId="0" fontId="2" numFmtId="0" xfId="0" applyAlignment="1" applyFont="1">
      <alignment horizontal="center" shrinkToFit="0" vertical="bottom" wrapText="1"/>
    </xf>
    <xf borderId="0" fillId="0" fontId="8" numFmtId="0" xfId="0" applyAlignment="1" applyFont="1">
      <alignment shrinkToFit="0" wrapText="1"/>
    </xf>
    <xf borderId="0" fillId="0" fontId="9" numFmtId="0" xfId="0" applyAlignment="1" applyFont="1">
      <alignment horizontal="left" readingOrder="0" shrinkToFit="0" vertical="center" wrapText="1"/>
    </xf>
    <xf borderId="0" fillId="0" fontId="9" numFmtId="0" xfId="0" applyAlignment="1" applyFont="1">
      <alignment horizontal="center" readingOrder="0" shrinkToFit="0" vertical="center" wrapText="1"/>
    </xf>
    <xf borderId="0" fillId="0" fontId="8" numFmtId="49" xfId="0" applyAlignment="1" applyFont="1" applyNumberFormat="1">
      <alignment horizontal="center" shrinkToFit="0" vertical="center" wrapText="1"/>
    </xf>
    <xf borderId="1" fillId="0" fontId="8" numFmtId="49" xfId="0" applyAlignment="1" applyBorder="1" applyFont="1" applyNumberFormat="1">
      <alignment horizontal="center" readingOrder="0" shrinkToFit="0" vertical="center" wrapText="1"/>
    </xf>
    <xf borderId="0" fillId="0" fontId="9" numFmtId="49" xfId="0" applyAlignment="1" applyFont="1" applyNumberFormat="1">
      <alignment horizontal="center" readingOrder="0" shrinkToFit="0" vertical="center" wrapText="1"/>
    </xf>
    <xf borderId="0" fillId="0" fontId="9" numFmtId="0" xfId="0" applyAlignment="1" applyFont="1">
      <alignment horizontal="center" readingOrder="0" shrinkToFit="0" vertical="bottom" wrapText="1"/>
    </xf>
    <xf borderId="11" fillId="0" fontId="9" numFmtId="49" xfId="0" applyAlignment="1" applyBorder="1" applyFont="1" applyNumberFormat="1">
      <alignment horizontal="center" shrinkToFit="0" vertical="center" wrapText="1"/>
    </xf>
    <xf borderId="6" fillId="0" fontId="9" numFmtId="49" xfId="0" applyAlignment="1" applyBorder="1" applyFont="1" applyNumberFormat="1">
      <alignment horizontal="center" readingOrder="0" shrinkToFit="0" vertical="center" wrapText="1"/>
    </xf>
    <xf borderId="10" fillId="0" fontId="8" numFmtId="0" xfId="0" applyAlignment="1" applyBorder="1" applyFont="1">
      <alignment shrinkToFit="0" wrapText="1"/>
    </xf>
    <xf borderId="0" fillId="0" fontId="9" numFmtId="0" xfId="0" applyAlignment="1" applyFont="1">
      <alignment shrinkToFit="0" wrapText="1"/>
    </xf>
    <xf borderId="0" fillId="0" fontId="8" numFmtId="49" xfId="0" applyAlignment="1" applyFont="1" applyNumberFormat="1">
      <alignment shrinkToFit="0" wrapText="1"/>
    </xf>
    <xf borderId="0" fillId="0" fontId="8" numFmtId="49" xfId="0" applyAlignment="1" applyFont="1" applyNumberFormat="1">
      <alignment readingOrder="0" shrinkToFit="0" wrapText="1"/>
    </xf>
    <xf borderId="0" fillId="0" fontId="8" numFmtId="49" xfId="0" applyAlignment="1" applyFont="1" applyNumberFormat="1">
      <alignment shrinkToFit="0" vertical="center" wrapText="1"/>
    </xf>
    <xf borderId="0" fillId="0" fontId="9" numFmtId="0" xfId="0" applyAlignment="1" applyFont="1">
      <alignment horizontal="center" shrinkToFit="0" vertical="center" wrapText="1"/>
    </xf>
    <xf borderId="0" fillId="0" fontId="8" numFmtId="49" xfId="0" applyAlignment="1" applyFont="1" applyNumberFormat="1">
      <alignment horizontal="left" readingOrder="0" shrinkToFit="0" vertical="center" wrapText="1"/>
    </xf>
    <xf borderId="0" fillId="0" fontId="8" numFmtId="0" xfId="0" applyAlignment="1" applyFont="1">
      <alignment readingOrder="0" shrinkToFit="0" wrapText="1"/>
    </xf>
    <xf borderId="13" fillId="0" fontId="8" numFmtId="49" xfId="0" applyAlignment="1" applyBorder="1" applyFont="1" applyNumberFormat="1">
      <alignment shrinkToFit="0" vertical="center" wrapText="1"/>
    </xf>
    <xf borderId="1" fillId="0" fontId="8" numFmtId="49" xfId="0" applyAlignment="1" applyBorder="1" applyFont="1" applyNumberFormat="1">
      <alignment shrinkToFit="0" vertical="center" wrapText="1"/>
    </xf>
    <xf borderId="2" fillId="0" fontId="9" numFmtId="49" xfId="0" applyAlignment="1" applyBorder="1" applyFont="1" applyNumberFormat="1">
      <alignment horizontal="left" readingOrder="0" shrinkToFit="0" vertical="center" wrapText="1"/>
    </xf>
    <xf borderId="0" fillId="0" fontId="9" numFmtId="49" xfId="0" applyAlignment="1" applyFont="1" applyNumberFormat="1">
      <alignment horizontal="left" readingOrder="0" shrinkToFit="0" vertical="center" wrapText="1"/>
    </xf>
    <xf borderId="5" fillId="0" fontId="9" numFmtId="0" xfId="0" applyAlignment="1" applyBorder="1" applyFont="1">
      <alignment horizontal="center" readingOrder="0"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horizontal="left" readingOrder="0"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5" fillId="6" fontId="8"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wrapText="1"/>
    </xf>
    <xf borderId="5" fillId="0" fontId="7" numFmtId="0" xfId="0" applyAlignment="1" applyBorder="1" applyFont="1">
      <alignment horizontal="left" readingOrder="0" shrinkToFit="0" vertical="center" wrapText="1"/>
    </xf>
    <xf borderId="5" fillId="5" fontId="8" numFmtId="0" xfId="0" applyAlignment="1" applyBorder="1" applyFont="1">
      <alignment horizontal="center" readingOrder="0" shrinkToFit="0" vertical="center" wrapText="1"/>
    </xf>
    <xf borderId="5" fillId="0" fontId="8" numFmtId="0" xfId="0" applyAlignment="1" applyBorder="1" applyFont="1">
      <alignment readingOrder="0" shrinkToFit="0" vertical="center" wrapText="1"/>
    </xf>
    <xf borderId="5" fillId="0" fontId="8" numFmtId="0" xfId="0" applyAlignment="1" applyBorder="1" applyFont="1">
      <alignment shrinkToFit="0" wrapText="1"/>
    </xf>
    <xf borderId="6"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5" fillId="0" fontId="8" numFmtId="0" xfId="0" applyAlignment="1" applyBorder="1" applyFont="1">
      <alignment readingOrder="0" shrinkToFit="0" wrapText="1"/>
    </xf>
    <xf borderId="5" fillId="0" fontId="7" numFmtId="0" xfId="0" applyAlignment="1" applyBorder="1" applyFont="1">
      <alignment horizontal="center" readingOrder="0" shrinkToFit="0" wrapText="1"/>
    </xf>
    <xf borderId="5" fillId="0" fontId="8" numFmtId="0" xfId="0" applyAlignment="1" applyBorder="1" applyFont="1">
      <alignment shrinkToFit="0" vertical="center" wrapText="1"/>
    </xf>
    <xf borderId="5" fillId="0" fontId="7" numFmtId="0" xfId="0" applyAlignment="1" applyBorder="1" applyFont="1">
      <alignment readingOrder="0" shrinkToFit="0" wrapText="1"/>
    </xf>
    <xf borderId="5" fillId="0" fontId="7" numFmtId="0" xfId="0" applyAlignment="1" applyBorder="1" applyFont="1">
      <alignment readingOrder="0" shrinkToFit="0" vertical="center" wrapText="1"/>
    </xf>
    <xf borderId="6"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5" fillId="0" fontId="8" numFmtId="0" xfId="0" applyAlignment="1" applyBorder="1" applyFont="1">
      <alignment horizontal="center" readingOrder="0" shrinkToFit="0" wrapText="1"/>
    </xf>
    <xf borderId="5" fillId="0" fontId="10" numFmtId="0" xfId="0" applyAlignment="1" applyBorder="1" applyFont="1">
      <alignment horizontal="left" readingOrder="0" shrinkToFit="0" wrapText="1"/>
    </xf>
    <xf borderId="5" fillId="15" fontId="11" numFmtId="0" xfId="0" applyAlignment="1" applyBorder="1" applyFill="1" applyFont="1">
      <alignment readingOrder="0" shrinkToFit="0" wrapText="1"/>
    </xf>
    <xf borderId="5" fillId="0" fontId="8" numFmtId="0" xfId="0" applyAlignment="1" applyBorder="1" applyFont="1">
      <alignment readingOrder="0" shrinkToFit="0" vertical="center" wrapText="1"/>
    </xf>
    <xf borderId="5"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6" fillId="0" fontId="7" numFmtId="0" xfId="0" applyAlignment="1" applyBorder="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shrinkToFit="0" vertical="center" wrapText="1"/>
    </xf>
    <xf borderId="0" fillId="0" fontId="8" numFmtId="0" xfId="0" applyAlignment="1" applyFont="1">
      <alignment readingOrder="0" shrinkToFit="0" vertical="center" wrapText="1"/>
    </xf>
    <xf borderId="6" fillId="0" fontId="8" numFmtId="0" xfId="0" applyAlignment="1" applyBorder="1" applyFont="1">
      <alignment readingOrder="0" shrinkToFit="0" vertical="center" wrapText="1"/>
    </xf>
    <xf borderId="5" fillId="0" fontId="8" numFmtId="0" xfId="0" applyAlignment="1" applyBorder="1" applyFont="1">
      <alignment readingOrder="0" shrinkToFit="0" vertical="center" wrapText="0"/>
    </xf>
    <xf borderId="5" fillId="0" fontId="10" numFmtId="0" xfId="0" applyAlignment="1" applyBorder="1" applyFont="1">
      <alignment horizontal="center" shrinkToFit="0" wrapText="1"/>
    </xf>
    <xf borderId="5" fillId="0" fontId="10" numFmtId="0" xfId="0" applyAlignment="1" applyBorder="1" applyFont="1">
      <alignment readingOrder="0" shrinkToFit="0" vertical="bottom" wrapText="1"/>
    </xf>
    <xf borderId="5" fillId="0" fontId="10" numFmtId="0" xfId="0" applyAlignment="1" applyBorder="1" applyFont="1">
      <alignment horizontal="center" readingOrder="0" shrinkToFit="0" wrapText="1"/>
    </xf>
    <xf borderId="5" fillId="0" fontId="10" numFmtId="0" xfId="0" applyAlignment="1" applyBorder="1" applyFont="1">
      <alignment horizontal="center" shrinkToFit="0" wrapText="1"/>
    </xf>
    <xf borderId="5" fillId="0" fontId="10" numFmtId="0" xfId="0" applyAlignment="1" applyBorder="1" applyFont="1">
      <alignment shrinkToFit="0" vertical="bottom" wrapText="1"/>
    </xf>
    <xf borderId="5" fillId="0" fontId="10" numFmtId="0" xfId="0" applyAlignment="1" applyBorder="1" applyFont="1">
      <alignment shrinkToFit="0" wrapText="1"/>
    </xf>
    <xf borderId="4" fillId="0" fontId="10" numFmtId="0" xfId="0" applyAlignment="1" applyBorder="1" applyFont="1">
      <alignment shrinkToFit="0" vertical="bottom" wrapText="1"/>
    </xf>
    <xf borderId="14" fillId="0" fontId="10" numFmtId="0" xfId="0" applyAlignment="1" applyBorder="1" applyFont="1">
      <alignment shrinkToFit="0" wrapText="1"/>
    </xf>
    <xf borderId="5" fillId="5" fontId="8" numFmtId="0" xfId="0" applyAlignment="1" applyBorder="1" applyFont="1">
      <alignment readingOrder="0" shrinkToFit="0" wrapText="1"/>
    </xf>
    <xf borderId="5" fillId="0" fontId="10" numFmtId="0" xfId="0" applyAlignment="1" applyBorder="1" applyFont="1">
      <alignment horizontal="center" readingOrder="0" shrinkToFit="0" wrapText="1"/>
    </xf>
    <xf borderId="7" fillId="0" fontId="8" numFmtId="49" xfId="0" applyAlignment="1" applyBorder="1" applyFont="1" applyNumberFormat="1">
      <alignment shrinkToFit="0" vertical="center" wrapText="1"/>
    </xf>
    <xf borderId="6" fillId="0" fontId="8" numFmtId="0" xfId="0" applyAlignment="1" applyBorder="1" applyFont="1">
      <alignment horizontal="left" readingOrder="0" shrinkToFit="0" vertical="center" wrapText="1"/>
    </xf>
    <xf borderId="0" fillId="0" fontId="8" numFmtId="0" xfId="0" applyAlignment="1" applyFont="1">
      <alignment horizontal="left" readingOrder="0" shrinkToFit="0" vertical="center" wrapText="1"/>
    </xf>
    <xf borderId="2" fillId="0" fontId="8" numFmtId="0" xfId="0" applyAlignment="1" applyBorder="1" applyFont="1">
      <alignment horizontal="center" shrinkToFit="0" vertical="center" wrapText="1"/>
    </xf>
    <xf borderId="2" fillId="0" fontId="12" numFmtId="49" xfId="0" applyAlignment="1" applyBorder="1" applyFont="1" applyNumberFormat="1">
      <alignment readingOrder="0" shrinkToFit="0" wrapText="1"/>
    </xf>
    <xf borderId="5" fillId="0" fontId="12" numFmtId="0" xfId="0" applyAlignment="1" applyBorder="1" applyFont="1">
      <alignment horizontal="center" shrinkToFit="0" wrapText="1"/>
    </xf>
    <xf borderId="5" fillId="0" fontId="10" numFmtId="0" xfId="0" applyAlignment="1" applyBorder="1" applyFont="1">
      <alignment horizontal="center" shrinkToFit="0" vertical="center" wrapText="1"/>
    </xf>
    <xf borderId="6" fillId="0" fontId="10" numFmtId="0" xfId="0" applyAlignment="1" applyBorder="1" applyFont="1">
      <alignment readingOrder="0" shrinkToFit="0" vertical="center" wrapText="1"/>
    </xf>
    <xf borderId="5" fillId="0" fontId="10" numFmtId="0" xfId="0" applyAlignment="1" applyBorder="1" applyFont="1">
      <alignment shrinkToFit="0" vertical="center" wrapText="1"/>
    </xf>
    <xf borderId="5" fillId="0" fontId="10" numFmtId="0" xfId="0" applyAlignment="1" applyBorder="1" applyFont="1">
      <alignment readingOrder="0" shrinkToFit="0" vertical="center" wrapText="1"/>
    </xf>
    <xf borderId="5" fillId="0" fontId="10" numFmtId="0" xfId="0" applyAlignment="1" applyBorder="1" applyFont="1">
      <alignment horizontal="center" readingOrder="0" shrinkToFit="0" vertical="center" wrapText="1"/>
    </xf>
    <xf borderId="6" fillId="0" fontId="10" numFmtId="0" xfId="0" applyAlignment="1" applyBorder="1" applyFont="1">
      <alignment horizontal="center" readingOrder="0" shrinkToFit="0" vertical="center" wrapText="1"/>
    </xf>
    <xf borderId="6" fillId="0" fontId="10" numFmtId="0" xfId="0" applyAlignment="1" applyBorder="1" applyFont="1">
      <alignment horizontal="left" readingOrder="0" shrinkToFit="0" vertical="center" wrapText="1"/>
    </xf>
    <xf borderId="6" fillId="0" fontId="10" numFmtId="0" xfId="0" applyAlignment="1" applyBorder="1" applyFont="1">
      <alignment horizontal="left" readingOrder="0" shrinkToFit="0" vertical="center" wrapText="1"/>
    </xf>
    <xf borderId="2" fillId="0" fontId="9" numFmtId="0" xfId="0" applyAlignment="1" applyBorder="1" applyFont="1">
      <alignment horizontal="left" readingOrder="0" shrinkToFit="0" vertical="center" wrapText="1"/>
    </xf>
    <xf borderId="5" fillId="0" fontId="9" numFmtId="0" xfId="0" applyAlignment="1" applyBorder="1" applyFont="1">
      <alignment horizontal="left" readingOrder="0" shrinkToFit="0" vertical="center" wrapText="1"/>
    </xf>
    <xf borderId="5" fillId="0" fontId="8" numFmtId="0" xfId="0" applyAlignment="1" applyBorder="1" applyFont="1">
      <alignment horizontal="left" shrinkToFit="0" vertical="center" wrapText="1"/>
    </xf>
    <xf borderId="5" fillId="0" fontId="8" numFmtId="0" xfId="0" applyAlignment="1" applyBorder="1" applyFont="1">
      <alignment horizontal="left" shrinkToFit="0" wrapText="1"/>
    </xf>
    <xf borderId="5" fillId="0" fontId="8" numFmtId="0" xfId="0" applyAlignment="1" applyBorder="1" applyFont="1">
      <alignment horizontal="center" shrinkToFit="0" vertical="bottom" wrapText="1"/>
    </xf>
    <xf borderId="0" fillId="0" fontId="8" numFmtId="0" xfId="0" applyAlignment="1" applyFont="1">
      <alignment horizontal="center" shrinkToFit="0" vertical="bottom" wrapText="1"/>
    </xf>
    <xf borderId="5" fillId="0" fontId="8" numFmtId="0" xfId="0" applyAlignment="1" applyBorder="1" applyFont="1">
      <alignment horizontal="left" readingOrder="0" shrinkToFit="0" vertical="bottom" wrapText="1"/>
    </xf>
    <xf borderId="5" fillId="0" fontId="8" numFmtId="0" xfId="0" applyAlignment="1" applyBorder="1" applyFont="1">
      <alignment horizontal="center" readingOrder="0" shrinkToFit="0" vertical="bottom" wrapText="1"/>
    </xf>
    <xf borderId="5" fillId="0" fontId="8" numFmtId="0" xfId="0" applyAlignment="1" applyBorder="1" applyFont="1">
      <alignment horizontal="left" shrinkToFit="0" vertical="bottom" wrapText="1"/>
    </xf>
    <xf borderId="5" fillId="0" fontId="8" numFmtId="0" xfId="0" applyAlignment="1" applyBorder="1" applyFont="1">
      <alignment horizontal="left" readingOrder="0" shrinkToFit="0" wrapText="1"/>
    </xf>
    <xf borderId="5" fillId="0" fontId="8" numFmtId="0" xfId="0" applyAlignment="1" applyBorder="1" applyFont="1">
      <alignment horizontal="center" shrinkToFit="0" wrapText="1"/>
    </xf>
    <xf borderId="5" fillId="0" fontId="7" numFmtId="0" xfId="0" applyAlignment="1" applyBorder="1" applyFont="1">
      <alignment horizontal="left" shrinkToFit="0" wrapText="1"/>
    </xf>
    <xf borderId="5" fillId="0" fontId="9" numFmtId="0" xfId="0" applyAlignment="1" applyBorder="1" applyFont="1">
      <alignment horizontal="center" shrinkToFit="0" wrapText="1"/>
    </xf>
    <xf borderId="5" fillId="0" fontId="9" numFmtId="0" xfId="0" applyAlignment="1" applyBorder="1" applyFont="1">
      <alignment horizontal="left" shrinkToFit="0" wrapText="1"/>
    </xf>
    <xf borderId="0" fillId="0" fontId="8" numFmtId="0" xfId="0" applyAlignment="1" applyFont="1">
      <alignment horizontal="center" shrinkToFit="0" wrapText="1"/>
    </xf>
    <xf borderId="5" fillId="0" fontId="13" numFmtId="0" xfId="0" applyAlignment="1" applyBorder="1" applyFont="1">
      <alignment horizontal="left" readingOrder="0" shrinkToFit="0" wrapText="1"/>
    </xf>
    <xf borderId="11" fillId="0" fontId="8" numFmtId="0" xfId="0" applyAlignment="1" applyBorder="1" applyFont="1">
      <alignment shrinkToFit="0" wrapText="1"/>
    </xf>
    <xf borderId="13" fillId="0" fontId="8" numFmtId="0" xfId="0" applyAlignment="1" applyBorder="1" applyFont="1">
      <alignment shrinkToFit="0" wrapText="1"/>
    </xf>
    <xf borderId="1" fillId="0" fontId="8" numFmtId="0" xfId="0" applyAlignment="1" applyBorder="1" applyFont="1">
      <alignment shrinkToFit="0" wrapText="1"/>
    </xf>
    <xf borderId="14" fillId="0" fontId="8" numFmtId="0" xfId="0" applyAlignment="1" applyBorder="1" applyFont="1">
      <alignment shrinkToFit="0" wrapText="1"/>
    </xf>
    <xf borderId="5" fillId="0" fontId="9" numFmtId="0" xfId="0" applyAlignment="1" applyBorder="1" applyFont="1">
      <alignment horizontal="left" readingOrder="0" shrinkToFit="0" wrapText="1"/>
    </xf>
    <xf borderId="0" fillId="0" fontId="9" numFmtId="0" xfId="0" applyAlignment="1" applyFont="1">
      <alignment horizontal="left" shrinkToFit="0" wrapText="1"/>
    </xf>
    <xf borderId="5" fillId="0" fontId="9" numFmtId="0" xfId="0" applyAlignment="1" applyBorder="1" applyFont="1">
      <alignment horizontal="center" readingOrder="0" shrinkToFit="0" wrapText="1"/>
    </xf>
    <xf borderId="0" fillId="0" fontId="9" numFmtId="0" xfId="0" applyAlignment="1" applyFont="1">
      <alignment horizontal="center" readingOrder="0" shrinkToFit="0" wrapText="1"/>
    </xf>
    <xf borderId="5" fillId="0" fontId="8" numFmtId="0" xfId="0" applyAlignment="1" applyBorder="1" applyFont="1">
      <alignment horizontal="center" readingOrder="0" shrinkToFit="0" wrapText="1"/>
    </xf>
    <xf borderId="5" fillId="0" fontId="7" numFmtId="0" xfId="0" applyAlignment="1" applyBorder="1" applyFont="1">
      <alignment horizontal="left" readingOrder="0" shrinkToFit="0" wrapText="1"/>
    </xf>
    <xf borderId="0" fillId="0" fontId="7" numFmtId="0" xfId="0" applyAlignment="1" applyFont="1">
      <alignment horizontal="left" readingOrder="0" shrinkToFit="0" wrapText="1"/>
    </xf>
    <xf borderId="5" fillId="0" fontId="7" numFmtId="0" xfId="0" applyAlignment="1" applyBorder="1" applyFont="1">
      <alignment horizontal="left" readingOrder="0" shrinkToFit="0" vertical="bottom" wrapText="1"/>
    </xf>
    <xf borderId="0" fillId="0" fontId="7" numFmtId="0" xfId="0" applyAlignment="1" applyFont="1">
      <alignment horizontal="left" readingOrder="0" shrinkToFit="0" vertical="bottom" wrapText="1"/>
    </xf>
    <xf borderId="5" fillId="0" fontId="7" numFmtId="0" xfId="0" applyAlignment="1" applyBorder="1" applyFont="1">
      <alignment horizontal="left" shrinkToFit="0" vertical="bottom" wrapText="1"/>
    </xf>
    <xf borderId="0" fillId="0" fontId="7" numFmtId="0" xfId="0" applyAlignment="1" applyFont="1">
      <alignment horizontal="left" shrinkToFit="0" vertical="bottom" wrapText="1"/>
    </xf>
    <xf borderId="0" fillId="0" fontId="7" numFmtId="0" xfId="0" applyAlignment="1" applyFont="1">
      <alignment horizontal="left" shrinkToFit="0" wrapText="1"/>
    </xf>
    <xf borderId="0" fillId="0" fontId="8" numFmtId="0" xfId="0" applyAlignment="1" applyFont="1">
      <alignment horizontal="left" shrinkToFit="0" wrapText="1"/>
    </xf>
    <xf borderId="5" fillId="0" fontId="9" numFmtId="49" xfId="0" applyAlignment="1" applyBorder="1" applyFont="1" applyNumberFormat="1">
      <alignment horizontal="left" readingOrder="0" shrinkToFit="0" vertical="center" wrapText="1"/>
    </xf>
    <xf borderId="0" fillId="0" fontId="10" numFmtId="0" xfId="0" applyAlignment="1" applyFont="1">
      <alignment shrinkToFit="0" vertical="bottom" wrapText="1"/>
    </xf>
    <xf borderId="0" fillId="0" fontId="10" numFmtId="49" xfId="0" applyAlignment="1" applyFont="1" applyNumberFormat="1">
      <alignment shrinkToFit="0" vertical="bottom" wrapText="1"/>
    </xf>
    <xf borderId="11" fillId="0" fontId="10" numFmtId="0" xfId="0" applyAlignment="1" applyBorder="1" applyFont="1">
      <alignment shrinkToFit="0" vertical="bottom" wrapText="1"/>
    </xf>
    <xf borderId="5" fillId="0" fontId="10" numFmtId="0" xfId="0" applyAlignment="1" applyBorder="1" applyFont="1">
      <alignment readingOrder="0" shrinkToFit="0" wrapText="1"/>
    </xf>
    <xf borderId="6" fillId="0" fontId="10" numFmtId="0" xfId="0" applyAlignment="1" applyBorder="1" applyFont="1">
      <alignment readingOrder="0" shrinkToFit="0" vertical="bottom" wrapText="1"/>
    </xf>
    <xf borderId="5" fillId="0" fontId="14" numFmtId="0" xfId="0" applyAlignment="1" applyBorder="1" applyFont="1">
      <alignment readingOrder="0" shrinkToFit="0" vertical="top" wrapText="1"/>
    </xf>
    <xf borderId="5" fillId="0" fontId="15" numFmtId="0" xfId="0" applyAlignment="1" applyBorder="1" applyFont="1">
      <alignment horizontal="center" readingOrder="0" shrinkToFit="0" wrapText="1"/>
    </xf>
    <xf borderId="5" fillId="0" fontId="15" numFmtId="0" xfId="0" applyAlignment="1" applyBorder="1" applyFont="1">
      <alignment horizontal="left" readingOrder="0" shrinkToFit="0" wrapText="1"/>
    </xf>
    <xf borderId="6" fillId="0" fontId="9"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bottom" wrapText="1"/>
    </xf>
    <xf borderId="5" fillId="0" fontId="9" numFmtId="0" xfId="0" applyAlignment="1" applyBorder="1" applyFont="1">
      <alignment horizontal="left" readingOrder="0" shrinkToFit="0" vertical="top" wrapText="1"/>
    </xf>
    <xf borderId="5" fillId="0" fontId="9" numFmtId="0" xfId="0" applyAlignment="1" applyBorder="1" applyFont="1">
      <alignment horizontal="left" shrinkToFit="0" vertical="bottom" wrapText="1"/>
    </xf>
    <xf borderId="5" fillId="0" fontId="15" numFmtId="0" xfId="0" applyAlignment="1" applyBorder="1" applyFont="1">
      <alignment horizontal="center" readingOrder="0" shrinkToFit="0" vertical="top" wrapText="1"/>
    </xf>
    <xf borderId="5" fillId="0" fontId="15" numFmtId="0" xfId="0" applyAlignment="1" applyBorder="1" applyFont="1">
      <alignment readingOrder="0" shrinkToFit="0" vertical="top" wrapText="1"/>
    </xf>
    <xf borderId="5" fillId="0" fontId="12" numFmtId="0" xfId="0" applyAlignment="1" applyBorder="1" applyFont="1">
      <alignment horizontal="left" readingOrder="0" shrinkToFit="0" wrapText="1"/>
    </xf>
    <xf borderId="5" fillId="0" fontId="16" numFmtId="0" xfId="0" applyAlignment="1" applyBorder="1" applyFont="1">
      <alignment readingOrder="0" shrinkToFit="0" vertical="center" wrapText="1"/>
    </xf>
    <xf borderId="5" fillId="0" fontId="7" numFmtId="0" xfId="0" applyAlignment="1" applyBorder="1" applyFont="1">
      <alignment horizontal="left" readingOrder="0" shrinkToFit="0" vertical="top" wrapText="1"/>
    </xf>
    <xf borderId="5" fillId="0" fontId="16" numFmtId="0" xfId="0" applyAlignment="1" applyBorder="1" applyFont="1">
      <alignment readingOrder="0" shrinkToFit="0" wrapText="1"/>
    </xf>
    <xf borderId="5" fillId="0" fontId="8" numFmtId="0" xfId="0" applyAlignment="1" applyBorder="1" applyFont="1">
      <alignment horizontal="right" readingOrder="0" shrinkToFit="0" wrapText="1"/>
    </xf>
    <xf borderId="0" fillId="0" fontId="8" numFmtId="0" xfId="0" applyAlignment="1" applyFont="1">
      <alignment horizontal="center" readingOrder="0" shrinkToFit="0" wrapText="1"/>
    </xf>
    <xf borderId="0" fillId="0" fontId="10" numFmtId="0" xfId="0" applyAlignment="1" applyFont="1">
      <alignment horizontal="left" readingOrder="0" shrinkToFit="0" wrapText="1"/>
    </xf>
    <xf borderId="0" fillId="0" fontId="16" numFmtId="0" xfId="0" applyAlignment="1" applyFont="1">
      <alignment readingOrder="0" shrinkToFit="0" wrapText="1"/>
    </xf>
    <xf borderId="2" fillId="0" fontId="12" numFmtId="49" xfId="0" applyAlignment="1" applyBorder="1" applyFont="1" applyNumberFormat="1">
      <alignment shrinkToFit="0" wrapText="1"/>
    </xf>
    <xf borderId="12" fillId="0" fontId="12" numFmtId="0" xfId="0" applyAlignment="1" applyBorder="1" applyFont="1">
      <alignment horizontal="center" shrinkToFit="0" wrapText="1"/>
    </xf>
    <xf borderId="14" fillId="0" fontId="12" numFmtId="0" xfId="0" applyAlignment="1" applyBorder="1" applyFont="1">
      <alignment horizontal="center" shrinkToFit="0" wrapText="1"/>
    </xf>
    <xf borderId="1" fillId="0" fontId="12" numFmtId="0" xfId="0" applyAlignment="1" applyBorder="1" applyFont="1">
      <alignment horizontal="center" shrinkToFit="0" wrapText="1"/>
    </xf>
    <xf borderId="12" fillId="0" fontId="10" numFmtId="0" xfId="0" applyAlignment="1" applyBorder="1" applyFont="1">
      <alignment horizontal="center" shrinkToFit="0" wrapText="1"/>
    </xf>
    <xf borderId="14" fillId="0" fontId="10" numFmtId="0" xfId="0" applyAlignment="1" applyBorder="1" applyFont="1">
      <alignment readingOrder="0" shrinkToFit="0" vertical="bottom" wrapText="1"/>
    </xf>
    <xf borderId="14" fillId="0" fontId="10" numFmtId="0" xfId="0" applyAlignment="1" applyBorder="1" applyFont="1">
      <alignment shrinkToFit="0" vertical="bottom" wrapText="1"/>
    </xf>
    <xf borderId="0" fillId="0" fontId="10" numFmtId="0" xfId="0" applyAlignment="1" applyFont="1">
      <alignment shrinkToFit="0" wrapText="1"/>
    </xf>
    <xf borderId="11" fillId="0" fontId="10" numFmtId="0" xfId="0" applyAlignment="1" applyBorder="1" applyFont="1">
      <alignment readingOrder="0" shrinkToFit="0" wrapText="1"/>
    </xf>
    <xf borderId="11" fillId="0" fontId="10" numFmtId="0" xfId="0" applyAlignment="1" applyBorder="1" applyFont="1">
      <alignment shrinkToFit="0" wrapText="1"/>
    </xf>
    <xf borderId="14" fillId="0" fontId="10" numFmtId="0" xfId="0" applyAlignment="1" applyBorder="1" applyFont="1">
      <alignment readingOrder="0" shrinkToFit="0" wrapText="1"/>
    </xf>
    <xf borderId="14" fillId="0" fontId="10" numFmtId="0" xfId="0" applyAlignment="1" applyBorder="1" applyFont="1">
      <alignment shrinkToFit="0" wrapText="1"/>
    </xf>
    <xf borderId="11" fillId="0" fontId="10" numFmtId="0" xfId="0" applyAlignment="1" applyBorder="1" applyFont="1">
      <alignment readingOrder="0" shrinkToFit="0" vertical="center" wrapText="1"/>
    </xf>
    <xf borderId="11" fillId="0" fontId="10" numFmtId="0" xfId="0" applyAlignment="1" applyBorder="1" applyFont="1">
      <alignment shrinkToFit="0" vertical="center" wrapText="1"/>
    </xf>
    <xf borderId="12" fillId="0" fontId="10" numFmtId="0" xfId="0" applyAlignment="1" applyBorder="1" applyFont="1">
      <alignment horizontal="center" readingOrder="0" shrinkToFit="0" wrapText="1"/>
    </xf>
    <xf borderId="5" fillId="16" fontId="1" numFmtId="0" xfId="0" applyAlignment="1" applyBorder="1" applyFill="1" applyFont="1">
      <alignment horizontal="center" readingOrder="0" shrinkToFit="0" vertical="center" wrapText="1"/>
    </xf>
    <xf borderId="5" fillId="16" fontId="1" numFmtId="0" xfId="0" applyAlignment="1" applyBorder="1" applyFont="1">
      <alignment horizontal="left" readingOrder="0" shrinkToFit="0" vertical="center" wrapText="1"/>
    </xf>
    <xf borderId="5" fillId="16" fontId="1" numFmtId="0" xfId="0" applyAlignment="1" applyBorder="1" applyFont="1">
      <alignment horizontal="center" readingOrder="0" shrinkToFit="0" vertical="center" wrapText="1"/>
    </xf>
    <xf borderId="5" fillId="17" fontId="1" numFmtId="0" xfId="0" applyAlignment="1" applyBorder="1" applyFill="1" applyFont="1">
      <alignment horizontal="center" readingOrder="0" shrinkToFit="0" vertical="center" wrapText="1"/>
    </xf>
    <xf borderId="5" fillId="17" fontId="2" numFmtId="0" xfId="0" applyAlignment="1" applyBorder="1" applyFont="1">
      <alignment horizontal="left" readingOrder="0" shrinkToFit="0" vertical="center" wrapText="1"/>
    </xf>
    <xf borderId="0" fillId="17" fontId="10" numFmtId="0" xfId="0" applyAlignment="1" applyFont="1">
      <alignment horizontal="left" readingOrder="0" shrinkToFit="0" vertical="center" wrapText="1"/>
    </xf>
    <xf borderId="5" fillId="17" fontId="1" numFmtId="14" xfId="0" applyAlignment="1" applyBorder="1" applyFont="1" applyNumberFormat="1">
      <alignment horizontal="center" readingOrder="0" shrinkToFit="0" vertical="center" wrapText="1"/>
    </xf>
    <xf borderId="5" fillId="17" fontId="2" numFmtId="0" xfId="0" applyAlignment="1" applyBorder="1" applyFont="1">
      <alignment horizontal="left" readingOrder="0" shrinkToFit="0" vertical="center" wrapText="1"/>
    </xf>
    <xf borderId="5" fillId="17" fontId="17" numFmtId="0" xfId="0" applyAlignment="1" applyBorder="1" applyFont="1">
      <alignment horizontal="center" readingOrder="0" shrinkToFit="0" vertical="center" wrapText="1"/>
    </xf>
    <xf borderId="0" fillId="10" fontId="2" numFmtId="0" xfId="0" applyAlignment="1" applyFont="1">
      <alignment horizontal="center" readingOrder="0" shrinkToFit="0" vertical="bottom" wrapText="1"/>
    </xf>
    <xf borderId="0" fillId="5" fontId="2" numFmtId="0" xfId="0" applyAlignment="1" applyFont="1">
      <alignment horizontal="center" readingOrder="0" shrinkToFit="0" vertical="bottom" wrapText="1"/>
    </xf>
    <xf borderId="0" fillId="4" fontId="2" numFmtId="0" xfId="0" applyAlignment="1" applyFont="1">
      <alignment horizontal="center" readingOrder="0" shrinkToFit="0" vertical="bottom" wrapText="1"/>
    </xf>
    <xf borderId="1" fillId="0" fontId="2" numFmtId="0" xfId="0" applyAlignment="1" applyBorder="1" applyFont="1">
      <alignment horizontal="center" readingOrder="0" shrinkToFit="0" vertical="bottom" wrapText="1"/>
    </xf>
    <xf borderId="5" fillId="5" fontId="1" numFmtId="0" xfId="0" applyAlignment="1" applyBorder="1" applyFont="1">
      <alignment horizontal="center" readingOrder="0" shrinkToFit="0" vertical="center" wrapText="1"/>
    </xf>
    <xf borderId="5" fillId="4" fontId="1" numFmtId="0" xfId="0" applyAlignment="1" applyBorder="1" applyFont="1">
      <alignment horizontal="center" readingOrder="0" shrinkToFit="0" vertical="center" wrapText="1"/>
    </xf>
    <xf borderId="5" fillId="9" fontId="1" numFmtId="0" xfId="0" applyAlignment="1" applyBorder="1" applyFont="1">
      <alignment horizontal="center" readingOrder="0" shrinkToFit="0" vertical="center" wrapText="1"/>
    </xf>
    <xf borderId="15" fillId="0" fontId="2" numFmtId="0" xfId="0" applyAlignment="1" applyBorder="1" applyFont="1">
      <alignment horizontal="center" readingOrder="0" shrinkToFit="0" vertical="bottom" wrapText="1"/>
    </xf>
    <xf borderId="15" fillId="0" fontId="2" numFmtId="0" xfId="0" applyAlignment="1" applyBorder="1" applyFont="1">
      <alignment horizontal="center" shrinkToFit="0" vertical="bottom" wrapText="1"/>
    </xf>
    <xf borderId="0" fillId="0" fontId="2" numFmtId="0" xfId="0" applyAlignment="1" applyFont="1">
      <alignment horizontal="left" readingOrder="0" shrinkToFit="0" vertical="bottom" wrapText="1"/>
    </xf>
    <xf borderId="6" fillId="0" fontId="1"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5" fillId="7" fontId="2" numFmtId="0" xfId="0" applyAlignment="1" applyBorder="1" applyFont="1">
      <alignment horizontal="center" shrinkToFit="0" vertical="center" wrapText="1"/>
    </xf>
    <xf borderId="5" fillId="0" fontId="2" numFmtId="0" xfId="0" applyAlignment="1" applyBorder="1" applyFont="1">
      <alignment horizontal="center" readingOrder="0" shrinkToFit="0" vertical="bottom" wrapText="1"/>
    </xf>
    <xf borderId="5" fillId="7" fontId="2"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15"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bottom" wrapText="1"/>
    </xf>
    <xf borderId="11" fillId="0" fontId="2" numFmtId="0" xfId="0" applyAlignment="1" applyBorder="1" applyFont="1">
      <alignment horizontal="center" readingOrder="0" shrinkToFit="0" vertical="bottom" wrapText="1"/>
    </xf>
    <xf borderId="14" fillId="0" fontId="2" numFmtId="0" xfId="0" applyAlignment="1" applyBorder="1" applyFont="1">
      <alignment horizontal="center" readingOrder="0" shrinkToFit="0" vertical="bottom" wrapText="1"/>
    </xf>
    <xf borderId="8"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15" fillId="0" fontId="1" numFmtId="0" xfId="0" applyAlignment="1" applyBorder="1" applyFont="1">
      <alignment horizontal="center" shrinkToFit="0" vertical="center" wrapText="1"/>
    </xf>
    <xf borderId="15" fillId="0" fontId="2"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7" fontId="10" numFmtId="0" xfId="0" applyAlignment="1" applyFont="1">
      <alignment horizontal="center" readingOrder="0" shrinkToFit="0" wrapText="1"/>
    </xf>
    <xf borderId="0" fillId="7" fontId="10" numFmtId="0" xfId="0" applyAlignment="1" applyFont="1">
      <alignment horizontal="left" readingOrder="0" shrinkToFit="0" wrapText="1"/>
    </xf>
    <xf borderId="5" fillId="0" fontId="2" numFmtId="0" xfId="0" applyAlignment="1" applyBorder="1" applyFont="1">
      <alignment horizontal="center" readingOrder="0" shrinkToFit="0" vertical="bottom" wrapText="1"/>
    </xf>
    <xf borderId="9" fillId="0" fontId="1" numFmtId="0" xfId="0" applyAlignment="1" applyBorder="1" applyFont="1">
      <alignment horizontal="center" readingOrder="0" shrinkToFit="0" vertical="center" wrapText="1"/>
    </xf>
    <xf borderId="12" fillId="0" fontId="2" numFmtId="0" xfId="0" applyAlignment="1" applyBorder="1" applyFont="1">
      <alignment horizontal="center" readingOrder="0" shrinkToFit="0" vertical="bottom" wrapText="1"/>
    </xf>
    <xf borderId="2" fillId="7" fontId="2" numFmtId="0" xfId="0" applyAlignment="1" applyBorder="1" applyFont="1">
      <alignment horizontal="center" readingOrder="0" shrinkToFit="0" vertical="center" wrapText="1"/>
    </xf>
    <xf borderId="5" fillId="7" fontId="2" numFmtId="0" xfId="0" applyAlignment="1" applyBorder="1" applyFont="1">
      <alignment readingOrder="0" shrinkToFit="0" vertical="center" wrapText="1"/>
    </xf>
    <xf borderId="0" fillId="0" fontId="1" numFmtId="0" xfId="0" applyAlignment="1" applyFont="1">
      <alignment horizontal="left" readingOrder="0" shrinkToFit="0" vertical="bottom" wrapText="1"/>
    </xf>
    <xf borderId="0" fillId="0" fontId="2" numFmtId="0" xfId="0" applyAlignment="1" applyFont="1">
      <alignment horizontal="left" shrinkToFit="0" vertical="bottom" wrapText="1"/>
    </xf>
    <xf borderId="0" fillId="0" fontId="18" numFmtId="0" xfId="0" applyAlignment="1" applyFont="1">
      <alignment horizontal="center" shrinkToFit="0" vertical="bottom" wrapText="1"/>
    </xf>
    <xf borderId="5" fillId="0" fontId="1" numFmtId="0" xfId="0" applyAlignment="1" applyBorder="1" applyFont="1">
      <alignment horizontal="center" readingOrder="0" shrinkToFit="0" vertical="center" wrapText="1"/>
    </xf>
    <xf borderId="5" fillId="0" fontId="2" numFmtId="0" xfId="0" applyAlignment="1" applyBorder="1" applyFont="1">
      <alignment readingOrder="0" shrinkToFit="0" vertical="center" wrapText="1"/>
    </xf>
    <xf borderId="5" fillId="18" fontId="1" numFmtId="0" xfId="0" applyAlignment="1" applyBorder="1" applyFill="1" applyFont="1">
      <alignment horizontal="center" readingOrder="0" shrinkToFit="0" vertical="center" wrapText="1"/>
    </xf>
    <xf borderId="5" fillId="18" fontId="2" numFmtId="0" xfId="0" applyAlignment="1" applyBorder="1" applyFont="1">
      <alignment readingOrder="0" shrinkToFit="0" vertical="center" wrapText="1"/>
    </xf>
    <xf borderId="5" fillId="18" fontId="2" numFmtId="0" xfId="0" applyAlignment="1" applyBorder="1" applyFont="1">
      <alignment shrinkToFit="0" vertical="center" wrapText="1"/>
    </xf>
    <xf borderId="5" fillId="18" fontId="2" numFmtId="0" xfId="0" applyAlignment="1" applyBorder="1" applyFont="1">
      <alignment horizontal="left" readingOrder="0" shrinkToFit="0" vertical="center" wrapText="1"/>
    </xf>
    <xf borderId="2" fillId="18" fontId="1" numFmtId="0" xfId="0" applyAlignment="1" applyBorder="1" applyFont="1">
      <alignment horizontal="center" readingOrder="0" shrinkToFit="0" vertical="center" wrapText="1"/>
    </xf>
    <xf borderId="5" fillId="17" fontId="1" numFmtId="0" xfId="0" applyAlignment="1" applyBorder="1" applyFont="1">
      <alignment horizontal="center" readingOrder="0" shrinkToFit="0" vertical="center" wrapText="1"/>
    </xf>
    <xf borderId="5" fillId="17" fontId="2" numFmtId="0" xfId="0" applyAlignment="1" applyBorder="1" applyFont="1">
      <alignment readingOrder="0" shrinkToFit="0" vertical="center" wrapText="1"/>
    </xf>
    <xf borderId="5" fillId="17" fontId="2" numFmtId="0" xfId="0" applyAlignment="1" applyBorder="1" applyFont="1">
      <alignment shrinkToFit="0" vertical="center" wrapText="1"/>
    </xf>
    <xf borderId="5" fillId="7" fontId="2" numFmtId="49" xfId="0" applyAlignment="1" applyBorder="1" applyFont="1" applyNumberFormat="1">
      <alignment horizontal="left" readingOrder="0" shrinkToFit="0" vertical="center" wrapText="1"/>
    </xf>
    <xf borderId="5" fillId="7" fontId="2" numFmtId="0" xfId="0" applyAlignment="1" applyBorder="1" applyFont="1">
      <alignment horizontal="left" readingOrder="0" shrinkToFit="0" vertical="center" wrapText="1"/>
    </xf>
    <xf borderId="5" fillId="7" fontId="1" numFmtId="164" xfId="0" applyAlignment="1" applyBorder="1" applyFont="1" applyNumberFormat="1">
      <alignment horizontal="center" readingOrder="0" shrinkToFit="0" vertical="center" wrapText="1"/>
    </xf>
    <xf borderId="5" fillId="0" fontId="19"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5" fillId="7" fontId="1" numFmtId="0" xfId="0" applyAlignment="1" applyBorder="1" applyFont="1">
      <alignment horizontal="center" readingOrder="0" shrinkToFit="0" vertical="center" wrapText="1"/>
    </xf>
    <xf borderId="0" fillId="7" fontId="10" numFmtId="0" xfId="0" applyAlignment="1" applyFont="1">
      <alignment horizontal="left" readingOrder="0" shrinkToFit="0" vertical="center" wrapText="1"/>
    </xf>
    <xf borderId="5" fillId="7" fontId="1" numFmtId="14" xfId="0" applyAlignment="1" applyBorder="1" applyFont="1" applyNumberFormat="1">
      <alignment horizontal="center" readingOrder="0" shrinkToFit="0" vertical="center" wrapText="1"/>
    </xf>
    <xf borderId="5" fillId="7" fontId="2" numFmtId="0" xfId="0" applyAlignment="1" applyBorder="1" applyFont="1">
      <alignment horizontal="left" readingOrder="0" shrinkToFit="0" vertical="center" wrapText="1"/>
    </xf>
    <xf borderId="5" fillId="19" fontId="1" numFmtId="0" xfId="0" applyAlignment="1" applyBorder="1" applyFill="1" applyFont="1">
      <alignment horizontal="center" readingOrder="0" shrinkToFit="0" vertical="center" wrapText="1"/>
    </xf>
    <xf borderId="5" fillId="0" fontId="20" numFmtId="0" xfId="0" applyAlignment="1" applyBorder="1" applyFont="1">
      <alignment horizontal="center" readingOrder="0" shrinkToFit="0" vertical="center" wrapText="1"/>
    </xf>
    <xf borderId="5" fillId="0" fontId="21"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5" fillId="0" fontId="2" numFmtId="0" xfId="0" applyAlignment="1" applyBorder="1" applyFont="1">
      <alignment horizontal="center" shrinkToFit="0" vertical="center" wrapText="1"/>
    </xf>
    <xf borderId="5" fillId="0" fontId="2" numFmtId="49" xfId="0" applyAlignment="1" applyBorder="1" applyFont="1" applyNumberFormat="1">
      <alignment horizontal="center" readingOrder="0" shrinkToFit="0" vertical="center" wrapText="1"/>
    </xf>
    <xf borderId="2" fillId="0" fontId="2" numFmtId="49" xfId="0" applyAlignment="1" applyBorder="1" applyFont="1" applyNumberFormat="1">
      <alignment horizontal="center" readingOrder="0" shrinkToFit="0" vertical="center" wrapText="1"/>
    </xf>
    <xf borderId="2" fillId="7" fontId="22" numFmtId="49" xfId="0" applyAlignment="1" applyBorder="1" applyFont="1" applyNumberFormat="1">
      <alignment horizontal="right" readingOrder="0" shrinkToFit="0" vertical="center" wrapText="1"/>
    </xf>
    <xf borderId="2" fillId="0" fontId="23" numFmtId="49"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1"/>
    </xf>
    <xf borderId="7" fillId="0" fontId="2" numFmtId="49" xfId="0" applyAlignment="1" applyBorder="1" applyFont="1" applyNumberFormat="1">
      <alignment horizontal="center" shrinkToFit="0" vertical="center" wrapText="1"/>
    </xf>
    <xf borderId="5" fillId="0" fontId="2" numFmtId="0" xfId="0" applyAlignment="1" applyBorder="1" applyFont="1">
      <alignment readingOrder="0" shrinkToFit="0" wrapText="1"/>
    </xf>
    <xf borderId="15"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2" fillId="0" fontId="2" numFmtId="49" xfId="0" applyAlignment="1" applyBorder="1" applyFont="1" applyNumberFormat="1">
      <alignment horizontal="center" shrinkToFit="0" vertical="center" wrapText="1"/>
    </xf>
    <xf borderId="2" fillId="0" fontId="1" numFmtId="49" xfId="0" applyAlignment="1" applyBorder="1" applyFont="1" applyNumberFormat="1">
      <alignment horizontal="left" readingOrder="0" shrinkToFit="0" vertical="center" wrapText="1"/>
    </xf>
    <xf borderId="10" fillId="0" fontId="7" numFmtId="0" xfId="0" applyAlignment="1" applyBorder="1" applyFont="1">
      <alignment horizontal="center" shrinkToFit="0" vertical="center" wrapText="1"/>
    </xf>
    <xf borderId="2" fillId="0" fontId="1" numFmtId="0" xfId="0" applyAlignment="1" applyBorder="1" applyFont="1">
      <alignment readingOrder="0" shrinkToFit="0" wrapText="1"/>
    </xf>
    <xf borderId="0" fillId="4" fontId="2" numFmtId="0" xfId="0" applyAlignment="1" applyFont="1">
      <alignment readingOrder="0" shrinkToFit="0" wrapText="1"/>
    </xf>
    <xf borderId="0" fillId="4" fontId="2" numFmtId="0" xfId="0" applyAlignment="1" applyFont="1">
      <alignment horizontal="center" readingOrder="0" shrinkToFit="0" vertical="center" wrapText="1"/>
    </xf>
    <xf borderId="0" fillId="5" fontId="2" numFmtId="0" xfId="0" applyAlignment="1" applyFont="1">
      <alignment shrinkToFit="0" wrapText="1"/>
    </xf>
    <xf borderId="0" fillId="5" fontId="2" numFmtId="0" xfId="0" applyAlignment="1" applyFont="1">
      <alignment horizontal="center" readingOrder="0" shrinkToFit="0" vertical="center" wrapText="1"/>
    </xf>
    <xf borderId="0" fillId="0" fontId="4" numFmtId="49" xfId="0" applyAlignment="1" applyFont="1" applyNumberFormat="1">
      <alignment readingOrder="0" shrinkToFit="0" wrapText="1"/>
    </xf>
    <xf borderId="0" fillId="0" fontId="4" numFmtId="0" xfId="0" applyAlignment="1" applyFont="1">
      <alignment shrinkToFit="0" wrapText="1"/>
    </xf>
    <xf borderId="0" fillId="0" fontId="24" numFmtId="0" xfId="0" applyAlignment="1" applyFont="1">
      <alignment readingOrder="0" shrinkToFit="0" wrapText="1"/>
    </xf>
    <xf borderId="7" fillId="0" fontId="2" numFmtId="0" xfId="0" applyAlignment="1" applyBorder="1" applyFont="1">
      <alignment shrinkToFit="0" wrapText="1"/>
    </xf>
    <xf borderId="0" fillId="0" fontId="1" numFmtId="0" xfId="0" applyAlignment="1" applyFont="1">
      <alignment horizontal="center" readingOrder="0" shrinkToFit="0" vertical="center" wrapText="1"/>
    </xf>
    <xf borderId="0" fillId="0" fontId="2" numFmtId="0" xfId="0" applyAlignment="1" applyFont="1">
      <alignment horizontal="right" readingOrder="0" shrinkToFit="0" vertical="bottom"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gurtam.com/ru/gps_tracking/gps_hardware/auto.html?id=autolink" TargetMode="External"/><Relationship Id="rId2" Type="http://schemas.openxmlformats.org/officeDocument/2006/relationships/hyperlink" Target="http://gps-trace.com/?page=hw&amp;type=auto&amp;id=autolink" TargetMode="External"/><Relationship Id="rId3" Type="http://schemas.openxmlformats.org/officeDocument/2006/relationships/hyperlink" Target="http://www.cdc.ru/solutions/optimum-gps-monitoring/" TargetMode="External"/><Relationship Id="rId4" Type="http://schemas.openxmlformats.org/officeDocument/2006/relationships/hyperlink" Target="http://iscv.ru/produkty/kontrollery/product/view/1/1.html" TargetMode="External"/><Relationship Id="rId11" Type="http://schemas.openxmlformats.org/officeDocument/2006/relationships/hyperlink" Target="http://ends-russia.ru/hardware/" TargetMode="External"/><Relationship Id="rId10" Type="http://schemas.openxmlformats.org/officeDocument/2006/relationships/hyperlink" Target="http://www.fort-monitor.ru/programmnoe_obespechenie/fortmonitor_vendor/" TargetMode="External"/><Relationship Id="rId12" Type="http://schemas.openxmlformats.org/officeDocument/2006/relationships/drawing" Target="../drawings/drawing12.xml"/><Relationship Id="rId9" Type="http://schemas.openxmlformats.org/officeDocument/2006/relationships/hyperlink" Target="http://wiki.navixy.ru/%D0%A1%D0%BE%D0%BA%D0%BE%D0%BB%D0%B8%D0%BD%D1%8B%D0%B9_%D0%B3%D0%BB%D0%B0%D0%B7" TargetMode="External"/><Relationship Id="rId5" Type="http://schemas.openxmlformats.org/officeDocument/2006/relationships/hyperlink" Target="http://www.navifleet.lv/" TargetMode="External"/><Relationship Id="rId6" Type="http://schemas.openxmlformats.org/officeDocument/2006/relationships/hyperlink" Target="http://www.litegps.ru/programmnoe-obespechenie/podderzhivaemoe-oborudovanie.html" TargetMode="External"/><Relationship Id="rId7" Type="http://schemas.openxmlformats.org/officeDocument/2006/relationships/hyperlink" Target="http://www.maprox.ru/equipment" TargetMode="External"/><Relationship Id="rId8" Type="http://schemas.openxmlformats.org/officeDocument/2006/relationships/hyperlink" Target="http://www.navixy.ru/hardware/"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ms.duotec.ru/?6b&amp;551eaa09&amp;37.2092&amp;55.6358&amp;c0&amp;469826050&amp;332849043&amp;54d&amp;17"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46.13"/>
    <col customWidth="1" min="2" max="2" width="11.63"/>
    <col customWidth="1" min="3" max="3" width="11.0"/>
    <col customWidth="1" min="4" max="4" width="19.75"/>
  </cols>
  <sheetData>
    <row r="1">
      <c r="A1" s="1" t="s">
        <v>0</v>
      </c>
    </row>
    <row r="3">
      <c r="A3" s="2" t="s">
        <v>1</v>
      </c>
    </row>
    <row r="4" ht="1.5" customHeight="1"/>
    <row r="5">
      <c r="A5" s="2" t="s">
        <v>2</v>
      </c>
    </row>
    <row r="6" ht="4.5" customHeight="1"/>
    <row r="7">
      <c r="A7" s="2" t="s">
        <v>3</v>
      </c>
    </row>
    <row r="8" ht="5.25" customHeight="1"/>
    <row r="9">
      <c r="A9" s="2" t="s">
        <v>4</v>
      </c>
    </row>
    <row r="10" ht="4.5" customHeight="1"/>
    <row r="11">
      <c r="A11" s="2" t="s">
        <v>5</v>
      </c>
    </row>
    <row r="12" ht="4.5" customHeight="1">
      <c r="A12" s="3"/>
    </row>
    <row r="13">
      <c r="A13" s="4"/>
      <c r="B13" s="4"/>
      <c r="C13" s="4"/>
      <c r="D13" s="4"/>
    </row>
    <row r="14">
      <c r="A14" s="5" t="s">
        <v>6</v>
      </c>
      <c r="B14" s="6"/>
      <c r="C14" s="6"/>
      <c r="D14" s="7"/>
    </row>
    <row r="15">
      <c r="A15" s="8" t="s">
        <v>7</v>
      </c>
      <c r="B15" s="9" t="s">
        <v>8</v>
      </c>
      <c r="C15" s="7"/>
      <c r="D15" s="10" t="s">
        <v>9</v>
      </c>
    </row>
    <row r="16">
      <c r="A16" s="11" t="s">
        <v>10</v>
      </c>
      <c r="B16" s="12"/>
      <c r="C16" s="13"/>
      <c r="D16" s="14"/>
    </row>
    <row r="17">
      <c r="A17" s="15"/>
      <c r="B17" s="16" t="s">
        <v>11</v>
      </c>
      <c r="C17" s="17"/>
      <c r="D17" s="18"/>
    </row>
    <row r="18">
      <c r="A18" s="15"/>
      <c r="B18" s="19"/>
      <c r="C18" s="20"/>
      <c r="D18" s="21" t="s">
        <v>12</v>
      </c>
    </row>
    <row r="19">
      <c r="A19" s="15"/>
      <c r="B19" s="16" t="s">
        <v>13</v>
      </c>
      <c r="C19" s="20"/>
      <c r="D19" s="22"/>
    </row>
    <row r="20">
      <c r="A20" s="15"/>
      <c r="B20" s="19"/>
      <c r="C20" s="23" t="s">
        <v>14</v>
      </c>
      <c r="D20" s="24"/>
    </row>
    <row r="21">
      <c r="A21" s="15"/>
      <c r="B21" s="19"/>
      <c r="C21" s="23" t="s">
        <v>15</v>
      </c>
      <c r="D21" s="14"/>
    </row>
    <row r="22">
      <c r="A22" s="15"/>
      <c r="B22" s="19"/>
      <c r="C22" s="23" t="s">
        <v>16</v>
      </c>
      <c r="D22" s="18"/>
    </row>
    <row r="23">
      <c r="A23" s="25"/>
      <c r="B23" s="26"/>
      <c r="C23" s="27"/>
      <c r="D23" s="28" t="s">
        <v>12</v>
      </c>
    </row>
    <row r="24">
      <c r="A24" s="11" t="s">
        <v>17</v>
      </c>
      <c r="B24" s="12"/>
      <c r="C24" s="29"/>
      <c r="D24" s="14"/>
    </row>
    <row r="25">
      <c r="A25" s="15"/>
      <c r="B25" s="30"/>
      <c r="C25" s="27"/>
      <c r="D25" s="15"/>
    </row>
    <row r="26">
      <c r="A26" s="15"/>
      <c r="B26" s="31" t="s">
        <v>13</v>
      </c>
      <c r="C26" s="29"/>
      <c r="D26" s="18"/>
    </row>
    <row r="27">
      <c r="A27" s="15"/>
      <c r="B27" s="19"/>
      <c r="C27" s="23" t="s">
        <v>14</v>
      </c>
      <c r="D27" s="18"/>
    </row>
    <row r="28">
      <c r="A28" s="15"/>
      <c r="B28" s="19"/>
      <c r="C28" s="23" t="s">
        <v>18</v>
      </c>
      <c r="D28" s="18"/>
    </row>
    <row r="29">
      <c r="A29" s="15"/>
      <c r="B29" s="19"/>
      <c r="C29" s="23" t="s">
        <v>16</v>
      </c>
      <c r="D29" s="18"/>
    </row>
    <row r="30">
      <c r="A30" s="15"/>
      <c r="B30" s="19"/>
      <c r="C30" s="20"/>
      <c r="D30" s="21" t="s">
        <v>12</v>
      </c>
    </row>
    <row r="31">
      <c r="A31" s="25"/>
      <c r="B31" s="30"/>
      <c r="C31" s="27"/>
      <c r="D31" s="22"/>
    </row>
    <row r="32" ht="30.75" customHeight="1">
      <c r="A32" s="32" t="s">
        <v>19</v>
      </c>
      <c r="B32" s="33"/>
      <c r="C32" s="7"/>
      <c r="D32" s="34" t="s">
        <v>12</v>
      </c>
    </row>
  </sheetData>
  <mergeCells count="24">
    <mergeCell ref="A1:D1"/>
    <mergeCell ref="A2:D2"/>
    <mergeCell ref="A3:D3"/>
    <mergeCell ref="A4:D4"/>
    <mergeCell ref="A5:D5"/>
    <mergeCell ref="A6:D6"/>
    <mergeCell ref="A7:D7"/>
    <mergeCell ref="B15:C15"/>
    <mergeCell ref="B18:C18"/>
    <mergeCell ref="B19:C19"/>
    <mergeCell ref="B23:C23"/>
    <mergeCell ref="A24:A31"/>
    <mergeCell ref="B24:C25"/>
    <mergeCell ref="B26:C26"/>
    <mergeCell ref="B30:C31"/>
    <mergeCell ref="B32:C32"/>
    <mergeCell ref="A8:D8"/>
    <mergeCell ref="A9:D9"/>
    <mergeCell ref="A10:D10"/>
    <mergeCell ref="A11:D11"/>
    <mergeCell ref="A12:D13"/>
    <mergeCell ref="A14:D14"/>
    <mergeCell ref="A16:A23"/>
    <mergeCell ref="D24:D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9.63"/>
    <col customWidth="1" min="2" max="19" width="7.63"/>
    <col customWidth="1" min="20" max="20" width="1.13"/>
    <col customWidth="1" min="21" max="21" width="8.38"/>
  </cols>
  <sheetData>
    <row r="1">
      <c r="B1" s="1" t="s">
        <v>20</v>
      </c>
    </row>
    <row r="3">
      <c r="A3" s="1" t="s">
        <v>21</v>
      </c>
      <c r="B3" s="35" t="s">
        <v>22</v>
      </c>
      <c r="C3" s="35" t="s">
        <v>23</v>
      </c>
      <c r="D3" s="35" t="s">
        <v>24</v>
      </c>
      <c r="E3" s="35" t="s">
        <v>25</v>
      </c>
      <c r="F3" s="35" t="s">
        <v>26</v>
      </c>
      <c r="G3" s="35" t="s">
        <v>27</v>
      </c>
      <c r="H3" s="35" t="s">
        <v>28</v>
      </c>
      <c r="I3" s="35" t="s">
        <v>29</v>
      </c>
      <c r="J3" s="35" t="s">
        <v>30</v>
      </c>
      <c r="K3" s="35" t="s">
        <v>31</v>
      </c>
      <c r="L3" s="36" t="s">
        <v>32</v>
      </c>
      <c r="M3" s="36" t="s">
        <v>33</v>
      </c>
      <c r="N3" s="36" t="s">
        <v>34</v>
      </c>
      <c r="O3" s="36" t="s">
        <v>35</v>
      </c>
      <c r="P3" s="36" t="s">
        <v>36</v>
      </c>
      <c r="Q3" s="36" t="s">
        <v>37</v>
      </c>
      <c r="R3" s="36" t="s">
        <v>38</v>
      </c>
      <c r="S3" s="36" t="s">
        <v>39</v>
      </c>
      <c r="T3" s="37"/>
      <c r="U3" s="38" t="s">
        <v>40</v>
      </c>
    </row>
    <row r="4">
      <c r="A4" s="39" t="s">
        <v>41</v>
      </c>
      <c r="B4" s="40" t="s">
        <v>42</v>
      </c>
      <c r="C4" s="41" t="s">
        <v>43</v>
      </c>
      <c r="D4" s="42" t="s">
        <v>44</v>
      </c>
      <c r="E4" s="43" t="s">
        <v>45</v>
      </c>
      <c r="F4" s="43">
        <v>45.0</v>
      </c>
      <c r="G4" s="43" t="s">
        <v>46</v>
      </c>
      <c r="H4" s="43" t="s">
        <v>47</v>
      </c>
      <c r="I4" s="43" t="s">
        <v>48</v>
      </c>
      <c r="J4" s="44" t="s">
        <v>49</v>
      </c>
      <c r="K4" s="44" t="s">
        <v>50</v>
      </c>
      <c r="L4" s="45"/>
      <c r="M4" s="45"/>
      <c r="N4" s="45"/>
      <c r="O4" s="45"/>
      <c r="P4" s="45"/>
      <c r="Q4" s="45"/>
      <c r="R4" s="45"/>
      <c r="S4" s="45"/>
      <c r="U4" s="38" t="s">
        <v>51</v>
      </c>
    </row>
    <row r="5">
      <c r="A5" s="46"/>
      <c r="B5" s="15"/>
      <c r="C5" s="47"/>
      <c r="D5" s="48"/>
      <c r="J5" s="49"/>
      <c r="K5" s="49"/>
      <c r="L5" s="49"/>
      <c r="M5" s="49"/>
      <c r="N5" s="49"/>
      <c r="O5" s="49"/>
      <c r="P5" s="49"/>
      <c r="Q5" s="49"/>
      <c r="R5" s="49"/>
      <c r="S5" s="49"/>
      <c r="U5" s="50"/>
    </row>
    <row r="6">
      <c r="A6" s="46"/>
      <c r="B6" s="25"/>
      <c r="C6" s="51"/>
      <c r="D6" s="30"/>
      <c r="E6" s="4"/>
      <c r="F6" s="4"/>
      <c r="G6" s="4"/>
      <c r="H6" s="4"/>
      <c r="I6" s="4"/>
      <c r="J6" s="52"/>
      <c r="K6" s="52"/>
      <c r="L6" s="49"/>
      <c r="M6" s="49"/>
      <c r="N6" s="49"/>
      <c r="O6" s="49"/>
      <c r="P6" s="49"/>
      <c r="Q6" s="49"/>
      <c r="R6" s="49"/>
      <c r="S6" s="49"/>
      <c r="U6" s="50"/>
    </row>
    <row r="7">
      <c r="A7" s="53"/>
      <c r="B7" s="54"/>
      <c r="C7" s="54"/>
      <c r="D7" s="54"/>
      <c r="E7" s="54"/>
      <c r="F7" s="54"/>
      <c r="G7" s="54"/>
      <c r="H7" s="54"/>
      <c r="I7" s="54"/>
      <c r="J7" s="54"/>
      <c r="K7" s="54"/>
      <c r="U7" s="50"/>
    </row>
    <row r="8">
      <c r="A8" s="1" t="s">
        <v>52</v>
      </c>
      <c r="B8" s="55" t="s">
        <v>53</v>
      </c>
      <c r="F8" s="56"/>
      <c r="G8" s="56"/>
      <c r="H8" s="49"/>
      <c r="I8" s="49"/>
      <c r="J8" s="49"/>
      <c r="K8" s="49"/>
      <c r="L8" s="49"/>
      <c r="M8" s="49"/>
      <c r="N8" s="49"/>
      <c r="O8" s="49"/>
      <c r="P8" s="49"/>
      <c r="Q8" s="49"/>
      <c r="R8" s="49"/>
      <c r="S8" s="49"/>
      <c r="U8" s="36" t="s">
        <v>23</v>
      </c>
    </row>
    <row r="9">
      <c r="C9" s="57" t="s">
        <v>54</v>
      </c>
      <c r="J9" s="56"/>
      <c r="K9" s="56"/>
      <c r="L9" s="56"/>
      <c r="M9" s="56"/>
      <c r="N9" s="56"/>
      <c r="O9" s="56"/>
      <c r="P9" s="56"/>
      <c r="Q9" s="56"/>
      <c r="R9" s="56"/>
      <c r="S9" s="56"/>
      <c r="U9" s="36" t="s">
        <v>23</v>
      </c>
    </row>
    <row r="10">
      <c r="C10" s="57"/>
      <c r="J10" s="56"/>
      <c r="K10" s="56"/>
      <c r="L10" s="56"/>
      <c r="M10" s="56"/>
      <c r="N10" s="56"/>
      <c r="O10" s="56"/>
      <c r="P10" s="56"/>
      <c r="Q10" s="56"/>
      <c r="R10" s="56"/>
      <c r="S10" s="56"/>
      <c r="U10" s="36"/>
    </row>
    <row r="11">
      <c r="C11" s="49"/>
      <c r="D11" s="58" t="s">
        <v>55</v>
      </c>
      <c r="L11" s="59"/>
      <c r="M11" s="59"/>
      <c r="N11" s="59"/>
      <c r="O11" s="59"/>
      <c r="P11" s="59"/>
      <c r="Q11" s="59"/>
      <c r="R11" s="59"/>
      <c r="S11" s="59"/>
      <c r="U11" s="36" t="s">
        <v>30</v>
      </c>
    </row>
    <row r="12">
      <c r="A12" s="1"/>
      <c r="C12" s="49"/>
      <c r="D12" s="59"/>
      <c r="E12" s="59"/>
      <c r="F12" s="59"/>
      <c r="G12" s="59"/>
      <c r="H12" s="59"/>
      <c r="I12" s="59"/>
      <c r="J12" s="59"/>
      <c r="K12" s="59"/>
      <c r="L12" s="60" t="s">
        <v>56</v>
      </c>
      <c r="T12" s="37"/>
      <c r="U12" s="36" t="s">
        <v>30</v>
      </c>
    </row>
    <row r="14">
      <c r="A14" s="1" t="s">
        <v>57</v>
      </c>
      <c r="B14" s="61" t="s">
        <v>58</v>
      </c>
    </row>
  </sheetData>
  <mergeCells count="12">
    <mergeCell ref="C10:I10"/>
    <mergeCell ref="D11:K11"/>
    <mergeCell ref="L12:S12"/>
    <mergeCell ref="A13:U13"/>
    <mergeCell ref="B14:U14"/>
    <mergeCell ref="B1:T1"/>
    <mergeCell ref="A2:U2"/>
    <mergeCell ref="T3:T11"/>
    <mergeCell ref="B7:K7"/>
    <mergeCell ref="A8:A11"/>
    <mergeCell ref="B8:E8"/>
    <mergeCell ref="C9:I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9.13"/>
    <col customWidth="1" min="2" max="8" width="8.13"/>
    <col customWidth="1" min="9" max="9" width="5.5"/>
    <col customWidth="1" min="10" max="11" width="9.25"/>
  </cols>
  <sheetData>
    <row r="1">
      <c r="B1" s="1" t="s">
        <v>59</v>
      </c>
    </row>
    <row r="3">
      <c r="A3" s="1" t="s">
        <v>21</v>
      </c>
      <c r="B3" s="35" t="s">
        <v>22</v>
      </c>
      <c r="C3" s="35" t="s">
        <v>23</v>
      </c>
      <c r="D3" s="35" t="s">
        <v>60</v>
      </c>
      <c r="E3" s="4"/>
      <c r="F3" s="4"/>
      <c r="G3" s="4"/>
      <c r="H3" s="35" t="s">
        <v>61</v>
      </c>
      <c r="I3" s="62"/>
      <c r="J3" s="38" t="s">
        <v>40</v>
      </c>
      <c r="K3" s="38"/>
    </row>
    <row r="4">
      <c r="A4" s="39" t="s">
        <v>41</v>
      </c>
      <c r="B4" s="63" t="s">
        <v>62</v>
      </c>
      <c r="C4" s="41" t="s">
        <v>63</v>
      </c>
      <c r="D4" s="64" t="s">
        <v>64</v>
      </c>
      <c r="E4" s="54"/>
      <c r="F4" s="54"/>
      <c r="G4" s="29"/>
      <c r="H4" s="65" t="s">
        <v>65</v>
      </c>
      <c r="I4" s="66"/>
      <c r="J4" s="38" t="s">
        <v>66</v>
      </c>
      <c r="K4" s="38"/>
    </row>
    <row r="5">
      <c r="A5" s="67"/>
      <c r="J5" s="50"/>
      <c r="K5" s="50"/>
    </row>
    <row r="6">
      <c r="A6" s="1" t="s">
        <v>52</v>
      </c>
      <c r="B6" s="68" t="s">
        <v>67</v>
      </c>
      <c r="E6" s="56"/>
      <c r="F6" s="56"/>
      <c r="G6" s="56"/>
      <c r="H6" s="49"/>
      <c r="I6" s="49"/>
      <c r="J6" s="36" t="s">
        <v>23</v>
      </c>
      <c r="K6" s="36"/>
    </row>
    <row r="7">
      <c r="B7" s="49"/>
      <c r="C7" s="57" t="s">
        <v>68</v>
      </c>
      <c r="H7" s="56"/>
      <c r="I7" s="49"/>
      <c r="J7" s="36" t="s">
        <v>23</v>
      </c>
      <c r="K7" s="36"/>
    </row>
    <row r="8">
      <c r="B8" s="49"/>
      <c r="C8" s="49"/>
      <c r="D8" s="58" t="s">
        <v>69</v>
      </c>
      <c r="H8" s="69"/>
      <c r="I8" s="69"/>
      <c r="J8" s="36" t="s">
        <v>60</v>
      </c>
      <c r="K8" s="36"/>
    </row>
    <row r="9">
      <c r="B9" s="49"/>
      <c r="C9" s="49"/>
      <c r="D9" s="49"/>
      <c r="E9" s="49"/>
      <c r="F9" s="49"/>
      <c r="G9" s="49"/>
      <c r="H9" s="60" t="s">
        <v>70</v>
      </c>
      <c r="J9" s="70">
        <v>1.0</v>
      </c>
      <c r="K9" s="70"/>
    </row>
    <row r="10">
      <c r="A10" s="1" t="s">
        <v>57</v>
      </c>
      <c r="B10" s="71" t="s">
        <v>71</v>
      </c>
      <c r="K10" s="71"/>
    </row>
    <row r="11">
      <c r="A11" s="1"/>
      <c r="B11" s="71"/>
      <c r="C11" s="71"/>
      <c r="D11" s="71"/>
      <c r="E11" s="71"/>
      <c r="F11" s="71"/>
      <c r="G11" s="71"/>
      <c r="H11" s="71"/>
      <c r="I11" s="71"/>
      <c r="J11" s="71"/>
      <c r="K11" s="71"/>
    </row>
    <row r="12">
      <c r="A12" s="1"/>
      <c r="B12" s="71"/>
      <c r="C12" s="71"/>
      <c r="D12" s="71"/>
      <c r="E12" s="71"/>
      <c r="F12" s="71"/>
      <c r="G12" s="71"/>
      <c r="H12" s="71"/>
      <c r="I12" s="71"/>
      <c r="J12" s="71"/>
      <c r="K12" s="71"/>
    </row>
    <row r="13">
      <c r="A13" s="1" t="s">
        <v>21</v>
      </c>
      <c r="B13" s="35" t="s">
        <v>22</v>
      </c>
      <c r="C13" s="35" t="s">
        <v>23</v>
      </c>
      <c r="D13" s="35" t="s">
        <v>24</v>
      </c>
      <c r="E13" s="35" t="s">
        <v>25</v>
      </c>
      <c r="F13" s="36"/>
      <c r="G13" s="36"/>
      <c r="H13" s="36"/>
      <c r="I13" s="62"/>
      <c r="J13" s="38" t="s">
        <v>40</v>
      </c>
      <c r="K13" s="38"/>
    </row>
    <row r="14">
      <c r="A14" s="39" t="s">
        <v>41</v>
      </c>
      <c r="B14" s="63" t="s">
        <v>62</v>
      </c>
      <c r="C14" s="72" t="s">
        <v>72</v>
      </c>
      <c r="D14" s="73" t="s">
        <v>50</v>
      </c>
      <c r="E14" s="65" t="s">
        <v>65</v>
      </c>
      <c r="F14" s="38"/>
      <c r="G14" s="38"/>
      <c r="I14" s="74"/>
      <c r="J14" s="38" t="s">
        <v>26</v>
      </c>
      <c r="K14" s="38"/>
    </row>
    <row r="15">
      <c r="A15" s="67"/>
      <c r="J15" s="50"/>
      <c r="K15" s="50"/>
    </row>
    <row r="16">
      <c r="A16" s="1" t="s">
        <v>52</v>
      </c>
      <c r="B16" s="68" t="s">
        <v>67</v>
      </c>
      <c r="E16" s="56"/>
      <c r="F16" s="56"/>
      <c r="G16" s="56"/>
      <c r="H16" s="49"/>
      <c r="I16" s="49"/>
      <c r="J16" s="36" t="s">
        <v>23</v>
      </c>
      <c r="K16" s="36"/>
    </row>
    <row r="17">
      <c r="B17" s="49"/>
      <c r="C17" s="57" t="s">
        <v>73</v>
      </c>
      <c r="H17" s="56"/>
      <c r="I17" s="49"/>
      <c r="J17" s="36" t="s">
        <v>23</v>
      </c>
      <c r="K17" s="36"/>
    </row>
    <row r="18">
      <c r="B18" s="49"/>
      <c r="C18" s="49"/>
      <c r="D18" s="58" t="s">
        <v>74</v>
      </c>
      <c r="H18" s="69"/>
      <c r="I18" s="69"/>
      <c r="J18" s="36" t="s">
        <v>23</v>
      </c>
      <c r="K18" s="36"/>
    </row>
    <row r="19">
      <c r="B19" s="49"/>
      <c r="C19" s="49"/>
      <c r="D19" s="49"/>
      <c r="E19" s="60" t="s">
        <v>70</v>
      </c>
      <c r="G19" s="49"/>
      <c r="J19" s="70">
        <v>1.0</v>
      </c>
      <c r="K19" s="70"/>
    </row>
    <row r="20">
      <c r="A20" s="1" t="s">
        <v>57</v>
      </c>
      <c r="B20" s="71" t="s">
        <v>75</v>
      </c>
      <c r="K20" s="71"/>
    </row>
  </sheetData>
  <mergeCells count="18">
    <mergeCell ref="C7:G7"/>
    <mergeCell ref="D8:G8"/>
    <mergeCell ref="B1:I1"/>
    <mergeCell ref="A2:I2"/>
    <mergeCell ref="D3:G3"/>
    <mergeCell ref="D4:G4"/>
    <mergeCell ref="A5:I5"/>
    <mergeCell ref="A6:A9"/>
    <mergeCell ref="B6:D6"/>
    <mergeCell ref="E19:F19"/>
    <mergeCell ref="B20:J20"/>
    <mergeCell ref="H9:I9"/>
    <mergeCell ref="B10:J10"/>
    <mergeCell ref="A15:I15"/>
    <mergeCell ref="A16:A19"/>
    <mergeCell ref="B16:D16"/>
    <mergeCell ref="C17:G17"/>
    <mergeCell ref="D18:G1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1.38"/>
    <col customWidth="1" min="2" max="8" width="5.88"/>
    <col customWidth="1" min="9" max="12" width="5.38"/>
    <col customWidth="1" min="13" max="13" width="6.13"/>
    <col customWidth="1" min="14" max="14" width="5.38"/>
    <col customWidth="1" min="15" max="15" width="10.75"/>
    <col customWidth="1" min="16" max="16" width="10.38"/>
    <col customWidth="1" min="17" max="17" width="12.25"/>
    <col customWidth="1" min="18" max="18" width="7.5"/>
    <col customWidth="1" min="19" max="19" width="7.38"/>
    <col customWidth="1" min="20" max="20" width="7.13"/>
    <col customWidth="1" min="21" max="21" width="8.25"/>
    <col customWidth="1" min="22" max="22" width="11.25"/>
  </cols>
  <sheetData>
    <row r="1">
      <c r="B1" s="1" t="s">
        <v>76</v>
      </c>
      <c r="Q1" s="75"/>
    </row>
    <row r="2">
      <c r="Q2" s="75"/>
    </row>
    <row r="3">
      <c r="Q3" s="75"/>
    </row>
    <row r="4">
      <c r="A4" s="1" t="s">
        <v>21</v>
      </c>
      <c r="B4" s="35" t="s">
        <v>22</v>
      </c>
      <c r="C4" s="35" t="s">
        <v>23</v>
      </c>
      <c r="D4" s="35" t="s">
        <v>24</v>
      </c>
      <c r="E4" s="35" t="s">
        <v>25</v>
      </c>
      <c r="F4" s="35" t="s">
        <v>26</v>
      </c>
      <c r="G4" s="35" t="s">
        <v>27</v>
      </c>
      <c r="H4" s="35" t="s">
        <v>28</v>
      </c>
      <c r="I4" s="35" t="s">
        <v>77</v>
      </c>
      <c r="J4" s="4"/>
      <c r="K4" s="4"/>
      <c r="L4" s="4"/>
      <c r="M4" s="35" t="s">
        <v>78</v>
      </c>
      <c r="N4" s="49"/>
      <c r="O4" s="49"/>
      <c r="P4" s="49"/>
      <c r="Q4" s="38" t="s">
        <v>40</v>
      </c>
    </row>
    <row r="5">
      <c r="A5" s="39" t="s">
        <v>41</v>
      </c>
      <c r="B5" s="63" t="s">
        <v>63</v>
      </c>
      <c r="C5" s="72" t="s">
        <v>36</v>
      </c>
      <c r="D5" s="72" t="s">
        <v>50</v>
      </c>
      <c r="E5" s="76" t="s">
        <v>79</v>
      </c>
      <c r="F5" s="77" t="s">
        <v>80</v>
      </c>
      <c r="G5" s="77" t="s">
        <v>81</v>
      </c>
      <c r="H5" s="78" t="s">
        <v>82</v>
      </c>
      <c r="I5" s="79" t="s">
        <v>83</v>
      </c>
      <c r="J5" s="6"/>
      <c r="K5" s="6"/>
      <c r="L5" s="7"/>
      <c r="M5" s="80" t="s">
        <v>84</v>
      </c>
      <c r="N5" s="81"/>
      <c r="O5" s="74"/>
      <c r="P5" s="49"/>
      <c r="Q5" s="38" t="s">
        <v>85</v>
      </c>
    </row>
    <row r="6">
      <c r="A6" s="53"/>
      <c r="B6" s="82"/>
      <c r="C6" s="54"/>
      <c r="D6" s="54"/>
      <c r="E6" s="54"/>
      <c r="F6" s="54"/>
      <c r="G6" s="54"/>
      <c r="H6" s="54"/>
      <c r="I6" s="54"/>
      <c r="J6" s="54"/>
      <c r="K6" s="54"/>
      <c r="L6" s="54"/>
      <c r="M6" s="54"/>
      <c r="N6" s="82"/>
      <c r="O6" s="49"/>
      <c r="P6" s="49"/>
      <c r="Q6" s="62"/>
    </row>
    <row r="7">
      <c r="A7" s="1" t="s">
        <v>52</v>
      </c>
      <c r="B7" s="68" t="s">
        <v>86</v>
      </c>
      <c r="N7" s="49"/>
      <c r="O7" s="49"/>
      <c r="P7" s="49"/>
      <c r="Q7" s="38" t="s">
        <v>23</v>
      </c>
    </row>
    <row r="8">
      <c r="B8" s="49"/>
      <c r="C8" s="57" t="s">
        <v>87</v>
      </c>
      <c r="H8" s="56"/>
      <c r="N8" s="49"/>
      <c r="O8" s="49"/>
      <c r="P8" s="49"/>
      <c r="Q8" s="38" t="s">
        <v>24</v>
      </c>
    </row>
    <row r="9">
      <c r="B9" s="49"/>
      <c r="E9" s="83" t="s">
        <v>88</v>
      </c>
      <c r="N9" s="49"/>
      <c r="O9" s="49"/>
      <c r="P9" s="49"/>
      <c r="Q9" s="38" t="s">
        <v>26</v>
      </c>
    </row>
    <row r="10">
      <c r="B10" s="49"/>
      <c r="I10" s="84" t="s">
        <v>89</v>
      </c>
      <c r="L10" s="85"/>
      <c r="N10" s="49"/>
      <c r="O10" s="49"/>
      <c r="P10" s="49"/>
      <c r="Q10" s="38" t="s">
        <v>60</v>
      </c>
    </row>
    <row r="11">
      <c r="B11" s="49"/>
      <c r="M11" s="86" t="s">
        <v>90</v>
      </c>
      <c r="Q11" s="87" t="s">
        <v>23</v>
      </c>
    </row>
    <row r="13">
      <c r="A13" s="1" t="s">
        <v>57</v>
      </c>
      <c r="B13" s="71" t="s">
        <v>91</v>
      </c>
    </row>
    <row r="15">
      <c r="A15" s="53"/>
      <c r="B15" s="49"/>
      <c r="C15" s="49"/>
      <c r="D15" s="49"/>
      <c r="E15" s="49"/>
      <c r="F15" s="49"/>
      <c r="G15" s="49"/>
      <c r="H15" s="49"/>
      <c r="I15" s="49"/>
      <c r="J15" s="49"/>
      <c r="K15" s="49"/>
      <c r="L15" s="49"/>
      <c r="M15" s="49"/>
      <c r="N15" s="49"/>
      <c r="O15" s="49"/>
      <c r="P15" s="49"/>
      <c r="Q15" s="50"/>
    </row>
    <row r="16">
      <c r="A16" s="53"/>
      <c r="B16" s="49"/>
      <c r="C16" s="49"/>
      <c r="D16" s="49"/>
      <c r="E16" s="49"/>
      <c r="F16" s="49"/>
      <c r="G16" s="49"/>
      <c r="H16" s="49"/>
      <c r="I16" s="49"/>
      <c r="J16" s="49"/>
      <c r="K16" s="49"/>
      <c r="L16" s="49"/>
      <c r="M16" s="49"/>
      <c r="N16" s="49"/>
      <c r="O16" s="49"/>
      <c r="P16" s="49"/>
      <c r="Q16" s="50"/>
    </row>
    <row r="17">
      <c r="A17" s="53"/>
    </row>
    <row r="18">
      <c r="A18" s="88" t="s">
        <v>21</v>
      </c>
      <c r="B18" s="89" t="s">
        <v>22</v>
      </c>
      <c r="C18" s="89" t="s">
        <v>23</v>
      </c>
      <c r="D18" s="89" t="s">
        <v>24</v>
      </c>
      <c r="E18" s="89" t="s">
        <v>25</v>
      </c>
      <c r="F18" s="89" t="s">
        <v>26</v>
      </c>
      <c r="G18" s="89" t="s">
        <v>27</v>
      </c>
      <c r="H18" s="89" t="s">
        <v>28</v>
      </c>
      <c r="I18" s="89" t="s">
        <v>92</v>
      </c>
      <c r="J18" s="4"/>
      <c r="K18" s="4"/>
      <c r="L18" s="4"/>
      <c r="M18" s="89" t="s">
        <v>78</v>
      </c>
      <c r="N18" s="90"/>
      <c r="O18" s="90"/>
      <c r="P18" s="90"/>
      <c r="Q18" s="91" t="s">
        <v>40</v>
      </c>
    </row>
    <row r="19">
      <c r="A19" s="92" t="s">
        <v>41</v>
      </c>
      <c r="B19" s="93" t="s">
        <v>49</v>
      </c>
      <c r="C19" s="94" t="s">
        <v>36</v>
      </c>
      <c r="D19" s="94" t="s">
        <v>50</v>
      </c>
      <c r="E19" s="95" t="s">
        <v>79</v>
      </c>
      <c r="F19" s="95" t="s">
        <v>80</v>
      </c>
      <c r="G19" s="95" t="s">
        <v>81</v>
      </c>
      <c r="H19" s="96" t="s">
        <v>82</v>
      </c>
      <c r="I19" s="97" t="s">
        <v>93</v>
      </c>
      <c r="J19" s="4"/>
      <c r="K19" s="4"/>
      <c r="L19" s="27"/>
      <c r="M19" s="98" t="s">
        <v>94</v>
      </c>
      <c r="N19" s="99"/>
      <c r="O19" s="100"/>
      <c r="P19" s="90"/>
      <c r="Q19" s="91" t="s">
        <v>85</v>
      </c>
    </row>
    <row r="20">
      <c r="A20" s="101"/>
      <c r="B20" s="49"/>
      <c r="N20" s="90"/>
      <c r="O20" s="90"/>
      <c r="P20" s="90"/>
      <c r="Q20" s="90"/>
    </row>
    <row r="21">
      <c r="A21" s="88" t="s">
        <v>52</v>
      </c>
      <c r="B21" s="102" t="s">
        <v>95</v>
      </c>
      <c r="N21" s="90"/>
      <c r="O21" s="90"/>
      <c r="P21" s="90"/>
      <c r="Q21" s="91" t="s">
        <v>23</v>
      </c>
    </row>
    <row r="22">
      <c r="B22" s="90"/>
      <c r="C22" s="103" t="s">
        <v>96</v>
      </c>
      <c r="H22" s="49"/>
      <c r="N22" s="90"/>
      <c r="O22" s="90"/>
      <c r="P22" s="90"/>
      <c r="Q22" s="91" t="s">
        <v>24</v>
      </c>
    </row>
    <row r="23">
      <c r="B23" s="49"/>
      <c r="E23" s="104" t="s">
        <v>88</v>
      </c>
      <c r="M23" s="90"/>
      <c r="N23" s="90"/>
      <c r="O23" s="90"/>
      <c r="P23" s="90"/>
      <c r="Q23" s="91" t="s">
        <v>26</v>
      </c>
    </row>
    <row r="24">
      <c r="B24" s="49"/>
      <c r="I24" s="105" t="s">
        <v>97</v>
      </c>
      <c r="M24" s="90"/>
      <c r="N24" s="90"/>
      <c r="O24" s="90"/>
      <c r="P24" s="90"/>
      <c r="Q24" s="91" t="s">
        <v>60</v>
      </c>
    </row>
    <row r="25">
      <c r="B25" s="49"/>
      <c r="M25" s="106" t="s">
        <v>98</v>
      </c>
      <c r="Q25" s="107" t="s">
        <v>23</v>
      </c>
    </row>
    <row r="26">
      <c r="A26" s="53"/>
      <c r="B26" s="49"/>
      <c r="C26" s="49"/>
      <c r="D26" s="49"/>
      <c r="E26" s="49"/>
      <c r="F26" s="49"/>
      <c r="G26" s="49"/>
      <c r="H26" s="49"/>
      <c r="I26" s="49"/>
      <c r="J26" s="49"/>
      <c r="K26" s="49"/>
      <c r="L26" s="49"/>
      <c r="M26" s="49"/>
      <c r="N26" s="49"/>
      <c r="O26" s="49"/>
      <c r="P26" s="49"/>
      <c r="Q26" s="50"/>
    </row>
    <row r="27">
      <c r="A27" s="1" t="s">
        <v>57</v>
      </c>
      <c r="B27" s="71" t="s">
        <v>99</v>
      </c>
    </row>
    <row r="28">
      <c r="A28" s="53"/>
      <c r="B28" s="49"/>
      <c r="C28" s="49"/>
      <c r="D28" s="49"/>
      <c r="E28" s="49"/>
      <c r="F28" s="49"/>
      <c r="G28" s="49"/>
      <c r="H28" s="49"/>
      <c r="I28" s="49"/>
      <c r="J28" s="49"/>
      <c r="K28" s="49"/>
      <c r="L28" s="49"/>
      <c r="M28" s="49"/>
      <c r="N28" s="49"/>
      <c r="O28" s="49"/>
      <c r="P28" s="49"/>
      <c r="Q28" s="50"/>
    </row>
    <row r="29">
      <c r="A29" s="53"/>
      <c r="B29" s="49"/>
      <c r="C29" s="49"/>
      <c r="D29" s="49"/>
      <c r="E29" s="49"/>
      <c r="F29" s="49"/>
      <c r="G29" s="49"/>
      <c r="H29" s="49"/>
      <c r="I29" s="49"/>
      <c r="J29" s="49"/>
      <c r="K29" s="49"/>
      <c r="L29" s="49"/>
      <c r="M29" s="49"/>
      <c r="N29" s="49"/>
      <c r="O29" s="49"/>
      <c r="P29" s="49"/>
      <c r="Q29" s="50"/>
    </row>
    <row r="30">
      <c r="A30" s="1" t="s">
        <v>21</v>
      </c>
      <c r="B30" s="108" t="s">
        <v>22</v>
      </c>
      <c r="C30" s="108" t="s">
        <v>23</v>
      </c>
      <c r="D30" s="108" t="s">
        <v>24</v>
      </c>
      <c r="E30" s="108" t="s">
        <v>25</v>
      </c>
      <c r="F30" s="108" t="s">
        <v>26</v>
      </c>
      <c r="G30" s="108" t="s">
        <v>27</v>
      </c>
      <c r="H30" s="108" t="s">
        <v>28</v>
      </c>
      <c r="I30" s="108" t="s">
        <v>29</v>
      </c>
      <c r="J30" s="108" t="s">
        <v>30</v>
      </c>
      <c r="K30" s="108" t="s">
        <v>31</v>
      </c>
      <c r="L30" s="108" t="s">
        <v>32</v>
      </c>
      <c r="M30" s="108" t="s">
        <v>60</v>
      </c>
      <c r="R30" s="70" t="s">
        <v>78</v>
      </c>
      <c r="V30" s="109" t="s">
        <v>40</v>
      </c>
    </row>
    <row r="31">
      <c r="A31" s="1" t="s">
        <v>41</v>
      </c>
      <c r="B31" s="110" t="s">
        <v>100</v>
      </c>
      <c r="C31" s="111" t="s">
        <v>36</v>
      </c>
      <c r="D31" s="111" t="s">
        <v>50</v>
      </c>
      <c r="E31" s="112" t="s">
        <v>79</v>
      </c>
      <c r="F31" s="112" t="s">
        <v>80</v>
      </c>
      <c r="G31" s="112" t="s">
        <v>81</v>
      </c>
      <c r="H31" s="112" t="s">
        <v>82</v>
      </c>
      <c r="I31" s="45" t="s">
        <v>50</v>
      </c>
      <c r="J31" s="45" t="s">
        <v>101</v>
      </c>
      <c r="K31" s="45" t="s">
        <v>50</v>
      </c>
      <c r="L31" s="45" t="s">
        <v>50</v>
      </c>
      <c r="M31" s="113" t="s">
        <v>102</v>
      </c>
      <c r="R31" s="114" t="s">
        <v>94</v>
      </c>
      <c r="V31" s="109" t="s">
        <v>103</v>
      </c>
    </row>
    <row r="32">
      <c r="A32" s="53"/>
      <c r="B32" s="49"/>
      <c r="C32" s="49"/>
      <c r="D32" s="49"/>
      <c r="E32" s="49"/>
      <c r="F32" s="49"/>
      <c r="G32" s="49"/>
      <c r="H32" s="49"/>
      <c r="I32" s="49"/>
      <c r="J32" s="49"/>
      <c r="K32" s="49"/>
      <c r="L32" s="49"/>
      <c r="M32" s="49"/>
      <c r="N32" s="49"/>
      <c r="O32" s="49"/>
      <c r="P32" s="49"/>
      <c r="Q32" s="50"/>
      <c r="V32" s="115"/>
    </row>
    <row r="33" ht="15.75" customHeight="1">
      <c r="A33" s="1" t="s">
        <v>52</v>
      </c>
      <c r="B33" s="68" t="s">
        <v>104</v>
      </c>
      <c r="K33" s="49"/>
      <c r="L33" s="49"/>
      <c r="M33" s="49"/>
      <c r="N33" s="49"/>
      <c r="O33" s="49"/>
      <c r="P33" s="49"/>
      <c r="Q33" s="50"/>
      <c r="V33" s="109">
        <v>1.0</v>
      </c>
    </row>
    <row r="34">
      <c r="B34" s="49"/>
      <c r="C34" s="57" t="s">
        <v>87</v>
      </c>
      <c r="H34" s="49"/>
      <c r="I34" s="49"/>
      <c r="J34" s="49"/>
      <c r="K34" s="49"/>
      <c r="L34" s="49"/>
      <c r="M34" s="49"/>
      <c r="N34" s="49"/>
      <c r="O34" s="49"/>
      <c r="P34" s="49"/>
      <c r="Q34" s="50"/>
      <c r="V34" s="109">
        <v>2.0</v>
      </c>
    </row>
    <row r="35">
      <c r="B35" s="49"/>
      <c r="C35" s="49"/>
      <c r="D35" s="49"/>
      <c r="E35" s="58" t="s">
        <v>88</v>
      </c>
      <c r="M35" s="49"/>
      <c r="N35" s="49"/>
      <c r="O35" s="49"/>
      <c r="P35" s="49"/>
      <c r="Q35" s="50"/>
      <c r="V35" s="109">
        <v>4.0</v>
      </c>
    </row>
    <row r="36">
      <c r="B36" s="49"/>
      <c r="C36" s="49"/>
      <c r="D36" s="49"/>
      <c r="E36" s="49"/>
      <c r="F36" s="49"/>
      <c r="G36" s="49"/>
      <c r="H36" s="49"/>
      <c r="I36" s="60" t="s">
        <v>105</v>
      </c>
      <c r="M36" s="49"/>
      <c r="N36" s="49"/>
      <c r="O36" s="49"/>
      <c r="P36" s="49"/>
      <c r="Q36" s="50"/>
      <c r="V36" s="109">
        <v>4.0</v>
      </c>
    </row>
    <row r="37">
      <c r="B37" s="49"/>
      <c r="C37" s="49"/>
      <c r="D37" s="49"/>
      <c r="E37" s="49"/>
      <c r="F37" s="49"/>
      <c r="G37" s="49"/>
      <c r="H37" s="49"/>
      <c r="I37" s="49"/>
      <c r="J37" s="49"/>
      <c r="K37" s="49"/>
      <c r="L37" s="49"/>
      <c r="M37" s="116" t="s">
        <v>106</v>
      </c>
      <c r="V37" s="109" t="s">
        <v>60</v>
      </c>
    </row>
    <row r="38">
      <c r="B38" s="49"/>
      <c r="C38" s="49"/>
      <c r="D38" s="49"/>
      <c r="E38" s="49"/>
      <c r="F38" s="49"/>
      <c r="G38" s="49"/>
      <c r="H38" s="49"/>
      <c r="I38" s="49"/>
      <c r="J38" s="49"/>
      <c r="K38" s="49"/>
      <c r="L38" s="49"/>
      <c r="M38" s="49"/>
      <c r="N38" s="49"/>
      <c r="O38" s="49"/>
      <c r="P38" s="49"/>
      <c r="Q38" s="50"/>
      <c r="R38" s="106" t="s">
        <v>98</v>
      </c>
      <c r="V38" s="109">
        <v>1.0</v>
      </c>
    </row>
    <row r="39">
      <c r="B39" s="49"/>
      <c r="C39" s="49"/>
      <c r="D39" s="49"/>
      <c r="E39" s="49"/>
      <c r="F39" s="49"/>
      <c r="G39" s="49"/>
      <c r="H39" s="49"/>
      <c r="I39" s="49"/>
      <c r="J39" s="49"/>
      <c r="K39" s="49"/>
      <c r="L39" s="49"/>
      <c r="M39" s="49"/>
      <c r="N39" s="49"/>
      <c r="O39" s="49"/>
      <c r="P39" s="49"/>
      <c r="Q39" s="50"/>
    </row>
    <row r="40">
      <c r="A40" s="1" t="s">
        <v>57</v>
      </c>
      <c r="B40" s="59" t="s">
        <v>107</v>
      </c>
    </row>
    <row r="41">
      <c r="B41" s="2" t="s">
        <v>108</v>
      </c>
    </row>
    <row r="42">
      <c r="B42" s="2" t="s">
        <v>109</v>
      </c>
    </row>
    <row r="43">
      <c r="B43" s="59" t="s">
        <v>110</v>
      </c>
    </row>
    <row r="44">
      <c r="K44" s="49"/>
      <c r="L44" s="49"/>
      <c r="M44" s="49"/>
      <c r="N44" s="49"/>
      <c r="O44" s="49"/>
      <c r="P44" s="49"/>
      <c r="Q44" s="50"/>
    </row>
    <row r="45">
      <c r="B45" s="117"/>
      <c r="C45" s="117"/>
      <c r="D45" s="117"/>
      <c r="E45" s="117"/>
      <c r="F45" s="118"/>
      <c r="G45" s="119" t="s">
        <v>111</v>
      </c>
      <c r="H45" s="119" t="s">
        <v>112</v>
      </c>
      <c r="I45" s="119" t="s">
        <v>113</v>
      </c>
      <c r="J45" s="119" t="s">
        <v>111</v>
      </c>
      <c r="K45" s="118"/>
      <c r="L45" s="119" t="s">
        <v>114</v>
      </c>
      <c r="M45" s="119" t="s">
        <v>114</v>
      </c>
      <c r="N45" s="119" t="s">
        <v>114</v>
      </c>
      <c r="O45" s="49"/>
      <c r="P45" s="49"/>
      <c r="Q45" s="50"/>
    </row>
    <row r="46">
      <c r="A46" s="109" t="s">
        <v>41</v>
      </c>
      <c r="B46" s="120">
        <v>0.0</v>
      </c>
      <c r="C46" s="120" t="s">
        <v>115</v>
      </c>
      <c r="D46" s="120">
        <v>0.0</v>
      </c>
      <c r="E46" s="120">
        <v>0.0</v>
      </c>
      <c r="F46" s="121" t="s">
        <v>100</v>
      </c>
      <c r="G46" s="122" t="s">
        <v>116</v>
      </c>
      <c r="H46" s="122" t="s">
        <v>117</v>
      </c>
      <c r="I46" s="122" t="s">
        <v>118</v>
      </c>
      <c r="J46" s="122" t="s">
        <v>116</v>
      </c>
      <c r="K46" s="123" t="s">
        <v>49</v>
      </c>
      <c r="L46" s="124" t="s">
        <v>119</v>
      </c>
      <c r="M46" s="124" t="s">
        <v>119</v>
      </c>
      <c r="N46" s="124" t="s">
        <v>119</v>
      </c>
      <c r="O46" s="49"/>
      <c r="P46" s="49"/>
      <c r="Q46" s="50"/>
    </row>
    <row r="47">
      <c r="F47" s="49"/>
      <c r="G47" s="49"/>
      <c r="H47" s="49"/>
      <c r="I47" s="49"/>
      <c r="J47" s="49"/>
      <c r="K47" s="49"/>
      <c r="L47" s="49"/>
      <c r="M47" s="49"/>
      <c r="N47" s="49"/>
      <c r="O47" s="49"/>
      <c r="P47" s="49"/>
      <c r="Q47" s="50"/>
    </row>
    <row r="48">
      <c r="B48" s="125" t="s">
        <v>120</v>
      </c>
      <c r="O48" s="49"/>
      <c r="P48" s="49"/>
      <c r="Q48" s="50"/>
    </row>
    <row r="49">
      <c r="F49" s="126" t="s">
        <v>121</v>
      </c>
      <c r="J49" s="49"/>
      <c r="K49" s="49"/>
      <c r="L49" s="49"/>
      <c r="M49" s="49"/>
      <c r="N49" s="49"/>
      <c r="O49" s="49"/>
      <c r="P49" s="49"/>
      <c r="Q49" s="50"/>
    </row>
    <row r="50">
      <c r="F50" s="49"/>
      <c r="G50" s="68" t="s">
        <v>122</v>
      </c>
      <c r="K50" s="49"/>
      <c r="L50" s="49"/>
      <c r="M50" s="49"/>
      <c r="N50" s="49"/>
    </row>
    <row r="51">
      <c r="F51" s="49"/>
      <c r="G51" s="49"/>
      <c r="H51" s="49"/>
      <c r="I51" s="49"/>
      <c r="J51" s="49"/>
      <c r="K51" s="60" t="s">
        <v>123</v>
      </c>
      <c r="N51" s="49"/>
    </row>
    <row r="52">
      <c r="L52" s="83" t="s">
        <v>124</v>
      </c>
    </row>
    <row r="56">
      <c r="A56" s="1" t="s">
        <v>21</v>
      </c>
      <c r="B56" s="35" t="s">
        <v>22</v>
      </c>
      <c r="C56" s="35" t="s">
        <v>23</v>
      </c>
      <c r="D56" s="35" t="s">
        <v>24</v>
      </c>
      <c r="E56" s="35" t="s">
        <v>25</v>
      </c>
      <c r="F56" s="35" t="s">
        <v>26</v>
      </c>
      <c r="G56" s="35" t="s">
        <v>27</v>
      </c>
      <c r="H56" s="35" t="s">
        <v>28</v>
      </c>
      <c r="I56" s="35" t="s">
        <v>125</v>
      </c>
      <c r="J56" s="4"/>
      <c r="K56" s="4"/>
      <c r="L56" s="4"/>
      <c r="M56" s="35" t="s">
        <v>78</v>
      </c>
      <c r="N56" s="49"/>
      <c r="O56" s="49"/>
      <c r="P56" s="49"/>
      <c r="Q56" s="38" t="s">
        <v>40</v>
      </c>
    </row>
    <row r="57">
      <c r="A57" s="39" t="s">
        <v>41</v>
      </c>
      <c r="B57" s="63" t="s">
        <v>126</v>
      </c>
      <c r="C57" s="72" t="s">
        <v>127</v>
      </c>
      <c r="D57" s="72" t="s">
        <v>50</v>
      </c>
      <c r="E57" s="76" t="s">
        <v>79</v>
      </c>
      <c r="F57" s="77" t="s">
        <v>80</v>
      </c>
      <c r="G57" s="77" t="s">
        <v>81</v>
      </c>
      <c r="H57" s="78" t="s">
        <v>82</v>
      </c>
      <c r="I57" s="79" t="s">
        <v>83</v>
      </c>
      <c r="J57" s="6"/>
      <c r="K57" s="6"/>
      <c r="L57" s="7"/>
      <c r="M57" s="80" t="s">
        <v>94</v>
      </c>
      <c r="N57" s="81"/>
      <c r="O57" s="74"/>
      <c r="P57" s="49"/>
      <c r="Q57" s="38" t="s">
        <v>85</v>
      </c>
    </row>
    <row r="58">
      <c r="A58" s="53"/>
      <c r="B58" s="82"/>
      <c r="C58" s="54"/>
      <c r="D58" s="54"/>
      <c r="E58" s="54"/>
      <c r="F58" s="54"/>
      <c r="G58" s="54"/>
      <c r="H58" s="54"/>
      <c r="I58" s="54"/>
      <c r="J58" s="54"/>
      <c r="K58" s="54"/>
      <c r="L58" s="54"/>
      <c r="M58" s="54"/>
      <c r="N58" s="82"/>
      <c r="O58" s="49"/>
      <c r="P58" s="49"/>
      <c r="Q58" s="62"/>
    </row>
    <row r="59">
      <c r="A59" s="1" t="s">
        <v>52</v>
      </c>
      <c r="B59" s="68" t="s">
        <v>128</v>
      </c>
      <c r="N59" s="49"/>
      <c r="O59" s="49"/>
      <c r="P59" s="49"/>
      <c r="Q59" s="38" t="s">
        <v>23</v>
      </c>
    </row>
    <row r="60">
      <c r="B60" s="49"/>
      <c r="C60" s="57" t="s">
        <v>87</v>
      </c>
      <c r="H60" s="56"/>
      <c r="N60" s="49"/>
      <c r="O60" s="49"/>
      <c r="P60" s="49"/>
      <c r="Q60" s="38" t="s">
        <v>24</v>
      </c>
    </row>
    <row r="61">
      <c r="B61" s="49"/>
      <c r="E61" s="83" t="s">
        <v>88</v>
      </c>
      <c r="N61" s="49"/>
      <c r="O61" s="49"/>
      <c r="P61" s="49"/>
      <c r="Q61" s="38" t="s">
        <v>26</v>
      </c>
    </row>
    <row r="62">
      <c r="B62" s="49"/>
      <c r="I62" s="84" t="s">
        <v>129</v>
      </c>
      <c r="L62" s="85"/>
      <c r="N62" s="49"/>
      <c r="O62" s="49"/>
      <c r="P62" s="49"/>
      <c r="Q62" s="38" t="s">
        <v>60</v>
      </c>
    </row>
    <row r="63">
      <c r="B63" s="49"/>
      <c r="M63" s="106" t="s">
        <v>98</v>
      </c>
      <c r="Q63" s="87" t="s">
        <v>23</v>
      </c>
    </row>
    <row r="65">
      <c r="A65" s="1" t="s">
        <v>57</v>
      </c>
      <c r="B65" s="71" t="s">
        <v>130</v>
      </c>
    </row>
    <row r="66">
      <c r="A66" s="53"/>
      <c r="B66" s="49"/>
      <c r="C66" s="49"/>
      <c r="D66" s="49"/>
      <c r="E66" s="49"/>
      <c r="F66" s="49"/>
      <c r="G66" s="49"/>
      <c r="H66" s="49"/>
      <c r="I66" s="49"/>
      <c r="J66" s="49"/>
      <c r="K66" s="49"/>
      <c r="L66" s="49"/>
      <c r="M66" s="49"/>
      <c r="N66" s="49"/>
      <c r="O66" s="49"/>
      <c r="P66" s="49"/>
      <c r="Q66" s="50"/>
    </row>
    <row r="67">
      <c r="A67" s="53"/>
      <c r="B67" s="49"/>
      <c r="C67" s="49"/>
      <c r="D67" s="49"/>
      <c r="E67" s="49"/>
      <c r="F67" s="49"/>
      <c r="G67" s="49"/>
      <c r="H67" s="49"/>
      <c r="I67" s="49"/>
      <c r="J67" s="49"/>
      <c r="K67" s="49"/>
      <c r="L67" s="49"/>
      <c r="M67" s="49"/>
      <c r="N67" s="49"/>
      <c r="O67" s="49"/>
      <c r="P67" s="49"/>
      <c r="Q67" s="50"/>
    </row>
    <row r="68">
      <c r="A68" s="1" t="s">
        <v>21</v>
      </c>
      <c r="B68" s="35" t="s">
        <v>22</v>
      </c>
      <c r="C68" s="35" t="s">
        <v>23</v>
      </c>
      <c r="D68" s="35" t="s">
        <v>24</v>
      </c>
      <c r="E68" s="35" t="s">
        <v>25</v>
      </c>
      <c r="F68" s="35" t="s">
        <v>26</v>
      </c>
      <c r="G68" s="35" t="s">
        <v>27</v>
      </c>
      <c r="H68" s="35" t="s">
        <v>28</v>
      </c>
      <c r="I68" s="35" t="s">
        <v>125</v>
      </c>
      <c r="J68" s="4"/>
      <c r="K68" s="4"/>
      <c r="L68" s="4"/>
      <c r="M68" s="35" t="s">
        <v>78</v>
      </c>
      <c r="N68" s="49"/>
      <c r="O68" s="49"/>
      <c r="P68" s="49"/>
      <c r="Q68" s="38" t="s">
        <v>40</v>
      </c>
    </row>
    <row r="69">
      <c r="A69" s="39" t="s">
        <v>41</v>
      </c>
      <c r="B69" s="63" t="s">
        <v>131</v>
      </c>
      <c r="C69" s="72" t="s">
        <v>127</v>
      </c>
      <c r="D69" s="72" t="s">
        <v>50</v>
      </c>
      <c r="E69" s="76" t="s">
        <v>79</v>
      </c>
      <c r="F69" s="77" t="s">
        <v>80</v>
      </c>
      <c r="G69" s="77" t="s">
        <v>81</v>
      </c>
      <c r="H69" s="78" t="s">
        <v>82</v>
      </c>
      <c r="I69" s="127" t="s">
        <v>50</v>
      </c>
      <c r="J69" s="128"/>
      <c r="K69" s="6"/>
      <c r="L69" s="7"/>
      <c r="M69" s="80" t="s">
        <v>94</v>
      </c>
      <c r="N69" s="81"/>
      <c r="O69" s="74"/>
      <c r="P69" s="49"/>
      <c r="Q69" s="38" t="s">
        <v>85</v>
      </c>
    </row>
    <row r="70">
      <c r="A70" s="53"/>
      <c r="B70" s="82"/>
      <c r="C70" s="54"/>
      <c r="D70" s="54"/>
      <c r="E70" s="54"/>
      <c r="F70" s="54"/>
      <c r="G70" s="54"/>
      <c r="H70" s="54"/>
      <c r="I70" s="54"/>
      <c r="J70" s="54"/>
      <c r="K70" s="54"/>
      <c r="L70" s="54"/>
      <c r="M70" s="54"/>
      <c r="N70" s="82"/>
      <c r="O70" s="49"/>
      <c r="P70" s="49"/>
      <c r="Q70" s="62"/>
    </row>
    <row r="71">
      <c r="A71" s="1" t="s">
        <v>52</v>
      </c>
      <c r="B71" s="68" t="s">
        <v>132</v>
      </c>
      <c r="N71" s="49"/>
      <c r="O71" s="49"/>
      <c r="P71" s="49"/>
      <c r="Q71" s="38" t="s">
        <v>23</v>
      </c>
    </row>
    <row r="72">
      <c r="B72" s="49"/>
      <c r="C72" s="57" t="s">
        <v>87</v>
      </c>
      <c r="H72" s="56"/>
      <c r="N72" s="49"/>
      <c r="O72" s="49"/>
      <c r="P72" s="49"/>
      <c r="Q72" s="38" t="s">
        <v>24</v>
      </c>
    </row>
    <row r="73">
      <c r="B73" s="49"/>
      <c r="E73" s="83" t="s">
        <v>88</v>
      </c>
      <c r="N73" s="49"/>
      <c r="O73" s="49"/>
      <c r="P73" s="49"/>
      <c r="Q73" s="38" t="s">
        <v>26</v>
      </c>
    </row>
    <row r="74">
      <c r="B74" s="49"/>
      <c r="I74" s="129" t="s">
        <v>133</v>
      </c>
      <c r="N74" s="49"/>
      <c r="O74" s="49"/>
      <c r="P74" s="49"/>
      <c r="Q74" s="38" t="s">
        <v>60</v>
      </c>
    </row>
    <row r="75">
      <c r="B75" s="49"/>
      <c r="C75" s="49"/>
      <c r="D75" s="49"/>
      <c r="E75" s="49"/>
      <c r="F75" s="49"/>
      <c r="G75" s="49"/>
      <c r="H75" s="49"/>
      <c r="I75" s="2"/>
      <c r="J75" s="84" t="s">
        <v>134</v>
      </c>
      <c r="N75" s="49"/>
      <c r="O75" s="49"/>
      <c r="P75" s="49"/>
      <c r="Q75" s="38"/>
    </row>
    <row r="76">
      <c r="B76" s="49"/>
      <c r="M76" s="106" t="s">
        <v>98</v>
      </c>
      <c r="Q76" s="87" t="s">
        <v>23</v>
      </c>
    </row>
    <row r="78">
      <c r="A78" s="1" t="s">
        <v>57</v>
      </c>
      <c r="B78" s="71" t="s">
        <v>135</v>
      </c>
    </row>
    <row r="79">
      <c r="A79" s="53"/>
      <c r="B79" s="49"/>
      <c r="C79" s="49"/>
      <c r="D79" s="49"/>
      <c r="E79" s="49"/>
      <c r="F79" s="49"/>
      <c r="G79" s="49"/>
      <c r="H79" s="49"/>
      <c r="I79" s="49"/>
      <c r="J79" s="49"/>
      <c r="K79" s="49"/>
      <c r="L79" s="49"/>
      <c r="M79" s="49"/>
      <c r="N79" s="49"/>
      <c r="O79" s="49"/>
      <c r="P79" s="49"/>
      <c r="Q79" s="50"/>
    </row>
    <row r="80">
      <c r="A80" s="1" t="s">
        <v>21</v>
      </c>
      <c r="B80" s="35" t="s">
        <v>22</v>
      </c>
      <c r="C80" s="35" t="s">
        <v>23</v>
      </c>
      <c r="D80" s="35" t="s">
        <v>24</v>
      </c>
      <c r="E80" s="35" t="s">
        <v>25</v>
      </c>
      <c r="F80" s="35" t="s">
        <v>26</v>
      </c>
      <c r="G80" s="35" t="s">
        <v>27</v>
      </c>
      <c r="H80" s="35" t="s">
        <v>28</v>
      </c>
      <c r="I80" s="35" t="s">
        <v>29</v>
      </c>
      <c r="J80" s="35" t="s">
        <v>136</v>
      </c>
      <c r="K80" s="4"/>
      <c r="L80" s="4"/>
      <c r="M80" s="35" t="s">
        <v>34</v>
      </c>
      <c r="N80" s="49"/>
      <c r="O80" s="49"/>
      <c r="P80" s="49"/>
      <c r="Q80" s="38" t="s">
        <v>40</v>
      </c>
    </row>
    <row r="81">
      <c r="A81" s="39" t="s">
        <v>41</v>
      </c>
      <c r="B81" s="63" t="s">
        <v>137</v>
      </c>
      <c r="C81" s="72" t="s">
        <v>138</v>
      </c>
      <c r="D81" s="72" t="s">
        <v>50</v>
      </c>
      <c r="E81" s="76" t="s">
        <v>79</v>
      </c>
      <c r="F81" s="77" t="s">
        <v>80</v>
      </c>
      <c r="G81" s="77" t="s">
        <v>81</v>
      </c>
      <c r="H81" s="78" t="s">
        <v>82</v>
      </c>
      <c r="I81" s="127" t="s">
        <v>50</v>
      </c>
      <c r="J81" s="128" t="s">
        <v>139</v>
      </c>
      <c r="K81" s="6"/>
      <c r="L81" s="7"/>
      <c r="M81" s="80" t="s">
        <v>84</v>
      </c>
      <c r="N81" s="81"/>
      <c r="O81" s="74"/>
      <c r="P81" s="49"/>
      <c r="Q81" s="38" t="s">
        <v>35</v>
      </c>
    </row>
    <row r="82">
      <c r="A82" s="53"/>
      <c r="B82" s="82"/>
      <c r="C82" s="54"/>
      <c r="D82" s="54"/>
      <c r="E82" s="54"/>
      <c r="F82" s="54"/>
      <c r="G82" s="54"/>
      <c r="H82" s="54"/>
      <c r="I82" s="54"/>
      <c r="J82" s="54"/>
      <c r="K82" s="54"/>
      <c r="L82" s="54"/>
      <c r="M82" s="54"/>
      <c r="N82" s="82"/>
      <c r="O82" s="49"/>
      <c r="P82" s="49"/>
      <c r="Q82" s="62"/>
    </row>
    <row r="83">
      <c r="A83" s="1" t="s">
        <v>52</v>
      </c>
      <c r="B83" s="68" t="s">
        <v>140</v>
      </c>
      <c r="N83" s="49"/>
      <c r="O83" s="49"/>
      <c r="P83" s="49"/>
      <c r="Q83" s="38" t="s">
        <v>23</v>
      </c>
    </row>
    <row r="84" ht="12.75" customHeight="1">
      <c r="B84" s="49"/>
      <c r="C84" s="57" t="s">
        <v>87</v>
      </c>
      <c r="H84" s="56"/>
      <c r="N84" s="49"/>
      <c r="O84" s="49"/>
      <c r="P84" s="49"/>
      <c r="Q84" s="38" t="s">
        <v>24</v>
      </c>
    </row>
    <row r="85">
      <c r="B85" s="49"/>
      <c r="E85" s="83" t="s">
        <v>88</v>
      </c>
      <c r="N85" s="49"/>
      <c r="O85" s="49"/>
      <c r="P85" s="49"/>
      <c r="Q85" s="38" t="s">
        <v>26</v>
      </c>
    </row>
    <row r="86">
      <c r="B86" s="49"/>
      <c r="I86" s="129" t="s">
        <v>141</v>
      </c>
      <c r="N86" s="49"/>
      <c r="O86" s="49"/>
      <c r="P86" s="49"/>
      <c r="Q86" s="38" t="s">
        <v>23</v>
      </c>
    </row>
    <row r="87">
      <c r="B87" s="49"/>
      <c r="C87" s="49"/>
      <c r="D87" s="49"/>
      <c r="E87" s="49"/>
      <c r="F87" s="49"/>
      <c r="G87" s="49"/>
      <c r="H87" s="49"/>
      <c r="I87" s="2"/>
      <c r="J87" s="84" t="s">
        <v>142</v>
      </c>
      <c r="N87" s="49"/>
      <c r="O87" s="49"/>
      <c r="P87" s="49"/>
      <c r="Q87" s="38" t="s">
        <v>26</v>
      </c>
    </row>
    <row r="88">
      <c r="B88" s="49"/>
      <c r="M88" s="106" t="s">
        <v>98</v>
      </c>
      <c r="Q88" s="87" t="s">
        <v>23</v>
      </c>
    </row>
    <row r="90">
      <c r="A90" s="1" t="s">
        <v>57</v>
      </c>
      <c r="B90" s="71" t="s">
        <v>143</v>
      </c>
    </row>
    <row r="91">
      <c r="A91" s="1"/>
      <c r="B91" s="1"/>
      <c r="C91" s="1"/>
      <c r="D91" s="1"/>
      <c r="E91" s="1"/>
      <c r="F91" s="1"/>
      <c r="G91" s="1"/>
      <c r="H91" s="1"/>
      <c r="I91" s="1"/>
      <c r="J91" s="1"/>
      <c r="K91" s="1"/>
      <c r="L91" s="1"/>
      <c r="M91" s="1"/>
      <c r="N91" s="1"/>
      <c r="O91" s="1"/>
      <c r="P91" s="1"/>
      <c r="Q91" s="1"/>
    </row>
    <row r="92">
      <c r="A92" s="1"/>
      <c r="B92" s="1"/>
      <c r="C92" s="1"/>
      <c r="D92" s="1"/>
      <c r="E92" s="1"/>
      <c r="F92" s="1"/>
      <c r="G92" s="1"/>
      <c r="H92" s="1"/>
      <c r="I92" s="1"/>
      <c r="J92" s="1"/>
      <c r="K92" s="1"/>
      <c r="L92" s="1"/>
      <c r="M92" s="1"/>
      <c r="N92" s="1"/>
      <c r="O92" s="1"/>
      <c r="P92" s="1"/>
      <c r="Q92" s="1"/>
    </row>
    <row r="93">
      <c r="A93" s="88" t="s">
        <v>21</v>
      </c>
      <c r="B93" s="89" t="s">
        <v>22</v>
      </c>
      <c r="C93" s="89" t="s">
        <v>23</v>
      </c>
      <c r="D93" s="89" t="s">
        <v>24</v>
      </c>
      <c r="E93" s="89" t="s">
        <v>25</v>
      </c>
      <c r="F93" s="89" t="s">
        <v>26</v>
      </c>
      <c r="G93" s="89" t="s">
        <v>27</v>
      </c>
      <c r="H93" s="89" t="s">
        <v>28</v>
      </c>
      <c r="I93" s="89" t="s">
        <v>29</v>
      </c>
      <c r="J93" s="89" t="s">
        <v>30</v>
      </c>
      <c r="K93" s="89" t="s">
        <v>31</v>
      </c>
      <c r="L93" s="89" t="s">
        <v>32</v>
      </c>
      <c r="M93" s="89" t="s">
        <v>33</v>
      </c>
      <c r="N93" s="89" t="s">
        <v>34</v>
      </c>
      <c r="O93" s="89" t="s">
        <v>35</v>
      </c>
      <c r="P93" s="89" t="s">
        <v>36</v>
      </c>
      <c r="Q93" s="91" t="s">
        <v>40</v>
      </c>
    </row>
    <row r="94" ht="26.25" customHeight="1">
      <c r="A94" s="92" t="s">
        <v>41</v>
      </c>
      <c r="B94" s="130" t="s">
        <v>35</v>
      </c>
      <c r="C94" s="131" t="s">
        <v>36</v>
      </c>
      <c r="D94" s="131" t="s">
        <v>50</v>
      </c>
      <c r="E94" s="132" t="s">
        <v>79</v>
      </c>
      <c r="F94" s="132" t="s">
        <v>80</v>
      </c>
      <c r="G94" s="132" t="s">
        <v>81</v>
      </c>
      <c r="H94" s="133" t="s">
        <v>82</v>
      </c>
      <c r="I94" s="134" t="s">
        <v>79</v>
      </c>
      <c r="J94" s="134" t="s">
        <v>80</v>
      </c>
      <c r="K94" s="134" t="s">
        <v>81</v>
      </c>
      <c r="L94" s="135" t="s">
        <v>82</v>
      </c>
      <c r="M94" s="136" t="s">
        <v>84</v>
      </c>
      <c r="N94" s="137" t="s">
        <v>50</v>
      </c>
      <c r="O94" s="138" t="s">
        <v>144</v>
      </c>
      <c r="P94" s="139" t="s">
        <v>84</v>
      </c>
      <c r="Q94" s="140" t="s">
        <v>145</v>
      </c>
    </row>
    <row r="95">
      <c r="A95" s="101"/>
      <c r="B95" s="49"/>
      <c r="N95" s="90"/>
      <c r="O95" s="141"/>
      <c r="P95" s="141"/>
      <c r="Q95" s="90"/>
    </row>
    <row r="96">
      <c r="A96" s="88" t="s">
        <v>52</v>
      </c>
      <c r="B96" s="102" t="s">
        <v>146</v>
      </c>
      <c r="H96" s="142"/>
      <c r="I96" s="142"/>
      <c r="J96" s="142"/>
      <c r="K96" s="142"/>
      <c r="L96" s="142"/>
      <c r="M96" s="142"/>
      <c r="N96" s="90"/>
      <c r="O96" s="141"/>
      <c r="P96" s="141"/>
      <c r="Q96" s="91" t="s">
        <v>23</v>
      </c>
    </row>
    <row r="97">
      <c r="B97" s="90"/>
      <c r="C97" s="103" t="s">
        <v>96</v>
      </c>
      <c r="H97" s="49"/>
      <c r="N97" s="90"/>
      <c r="O97" s="141"/>
      <c r="P97" s="141"/>
      <c r="Q97" s="91" t="s">
        <v>24</v>
      </c>
    </row>
    <row r="98">
      <c r="B98" s="49"/>
      <c r="E98" s="104" t="s">
        <v>88</v>
      </c>
      <c r="M98" s="90"/>
      <c r="N98" s="90"/>
      <c r="O98" s="141"/>
      <c r="P98" s="141"/>
      <c r="Q98" s="91" t="s">
        <v>26</v>
      </c>
    </row>
    <row r="99">
      <c r="B99" s="49"/>
      <c r="I99" s="143" t="s">
        <v>147</v>
      </c>
      <c r="M99" s="90"/>
      <c r="N99" s="90"/>
      <c r="O99" s="141"/>
      <c r="P99" s="141"/>
      <c r="Q99" s="140" t="s">
        <v>26</v>
      </c>
    </row>
    <row r="100">
      <c r="B100" s="49"/>
      <c r="M100" s="144" t="s">
        <v>148</v>
      </c>
      <c r="O100" s="145"/>
      <c r="P100" s="145"/>
      <c r="Q100" s="146" t="s">
        <v>24</v>
      </c>
    </row>
    <row r="101">
      <c r="A101" s="88"/>
      <c r="B101" s="49"/>
      <c r="C101" s="49"/>
      <c r="D101" s="49"/>
      <c r="E101" s="49"/>
      <c r="F101" s="49"/>
      <c r="G101" s="49"/>
      <c r="H101" s="49"/>
      <c r="I101" s="49"/>
      <c r="J101" s="49"/>
      <c r="K101" s="49"/>
      <c r="L101" s="49"/>
      <c r="M101" s="142"/>
      <c r="N101" s="142"/>
      <c r="O101" s="147" t="s">
        <v>144</v>
      </c>
      <c r="Q101" s="148" t="s">
        <v>60</v>
      </c>
      <c r="R101" s="59"/>
      <c r="S101" s="59"/>
    </row>
    <row r="102">
      <c r="A102" s="53"/>
      <c r="B102" s="49"/>
      <c r="C102" s="49"/>
      <c r="D102" s="49"/>
      <c r="E102" s="49"/>
      <c r="F102" s="49"/>
      <c r="G102" s="49"/>
      <c r="H102" s="49"/>
      <c r="I102" s="49"/>
      <c r="J102" s="49"/>
      <c r="K102" s="49"/>
      <c r="L102" s="49"/>
      <c r="M102" s="49"/>
      <c r="N102" s="49"/>
      <c r="O102" s="49"/>
      <c r="P102" s="86" t="s">
        <v>90</v>
      </c>
      <c r="Q102" s="38" t="s">
        <v>23</v>
      </c>
    </row>
    <row r="103">
      <c r="A103" s="1" t="s">
        <v>57</v>
      </c>
      <c r="B103" s="71" t="s">
        <v>149</v>
      </c>
    </row>
  </sheetData>
  <mergeCells count="110">
    <mergeCell ref="B25:L25"/>
    <mergeCell ref="M25:P25"/>
    <mergeCell ref="B27:Q27"/>
    <mergeCell ref="M30:Q30"/>
    <mergeCell ref="M31:Q31"/>
    <mergeCell ref="B33:J33"/>
    <mergeCell ref="E35:L35"/>
    <mergeCell ref="C22:G22"/>
    <mergeCell ref="B23:D23"/>
    <mergeCell ref="A33:A38"/>
    <mergeCell ref="C34:G34"/>
    <mergeCell ref="A40:A43"/>
    <mergeCell ref="B48:E48"/>
    <mergeCell ref="F49:I49"/>
    <mergeCell ref="C8:G8"/>
    <mergeCell ref="B9:D9"/>
    <mergeCell ref="B1:M2"/>
    <mergeCell ref="I4:L4"/>
    <mergeCell ref="I5:L5"/>
    <mergeCell ref="B6:M6"/>
    <mergeCell ref="A7:A11"/>
    <mergeCell ref="B7:M7"/>
    <mergeCell ref="H8:M8"/>
    <mergeCell ref="B11:L11"/>
    <mergeCell ref="E9:L9"/>
    <mergeCell ref="B10:H10"/>
    <mergeCell ref="I10:K10"/>
    <mergeCell ref="M11:P11"/>
    <mergeCell ref="A12:Q12"/>
    <mergeCell ref="B13:Q13"/>
    <mergeCell ref="A14:Q14"/>
    <mergeCell ref="E23:L23"/>
    <mergeCell ref="B24:H24"/>
    <mergeCell ref="I24:L24"/>
    <mergeCell ref="A17:Q17"/>
    <mergeCell ref="I18:L18"/>
    <mergeCell ref="I19:L19"/>
    <mergeCell ref="B20:M20"/>
    <mergeCell ref="A21:A25"/>
    <mergeCell ref="B21:M21"/>
    <mergeCell ref="H22:M22"/>
    <mergeCell ref="I36:L36"/>
    <mergeCell ref="M37:Q37"/>
    <mergeCell ref="R38:U38"/>
    <mergeCell ref="B40:Q40"/>
    <mergeCell ref="B41:Q41"/>
    <mergeCell ref="B42:Q42"/>
    <mergeCell ref="B43:Q43"/>
    <mergeCell ref="B61:D61"/>
    <mergeCell ref="E61:L61"/>
    <mergeCell ref="B82:M82"/>
    <mergeCell ref="A83:A88"/>
    <mergeCell ref="B83:M83"/>
    <mergeCell ref="C84:G84"/>
    <mergeCell ref="H84:M84"/>
    <mergeCell ref="B85:D85"/>
    <mergeCell ref="E85:L85"/>
    <mergeCell ref="B96:G96"/>
    <mergeCell ref="C97:G97"/>
    <mergeCell ref="B99:H99"/>
    <mergeCell ref="I99:L99"/>
    <mergeCell ref="B100:L100"/>
    <mergeCell ref="M100:N100"/>
    <mergeCell ref="B103:Q103"/>
    <mergeCell ref="A96:A100"/>
    <mergeCell ref="B98:D98"/>
    <mergeCell ref="J87:L87"/>
    <mergeCell ref="B88:L88"/>
    <mergeCell ref="M88:P88"/>
    <mergeCell ref="A89:Q89"/>
    <mergeCell ref="B90:Q90"/>
    <mergeCell ref="B95:M95"/>
    <mergeCell ref="H97:M97"/>
    <mergeCell ref="E98:L98"/>
    <mergeCell ref="B59:M59"/>
    <mergeCell ref="C60:G60"/>
    <mergeCell ref="H60:M60"/>
    <mergeCell ref="G50:J50"/>
    <mergeCell ref="K51:M51"/>
    <mergeCell ref="L52:N52"/>
    <mergeCell ref="I56:L56"/>
    <mergeCell ref="I57:L57"/>
    <mergeCell ref="B58:M58"/>
    <mergeCell ref="A59:A63"/>
    <mergeCell ref="B63:L63"/>
    <mergeCell ref="B62:H62"/>
    <mergeCell ref="I62:K62"/>
    <mergeCell ref="M63:P63"/>
    <mergeCell ref="A64:Q64"/>
    <mergeCell ref="B65:Q65"/>
    <mergeCell ref="I68:L68"/>
    <mergeCell ref="J69:L69"/>
    <mergeCell ref="B74:H74"/>
    <mergeCell ref="I74:L74"/>
    <mergeCell ref="B70:M70"/>
    <mergeCell ref="A71:A76"/>
    <mergeCell ref="B71:M71"/>
    <mergeCell ref="C72:G72"/>
    <mergeCell ref="H72:M72"/>
    <mergeCell ref="B73:D73"/>
    <mergeCell ref="E73:L73"/>
    <mergeCell ref="J75:L75"/>
    <mergeCell ref="B76:L76"/>
    <mergeCell ref="M76:P76"/>
    <mergeCell ref="A77:Q77"/>
    <mergeCell ref="B78:Q78"/>
    <mergeCell ref="J80:L80"/>
    <mergeCell ref="J81:L81"/>
    <mergeCell ref="B86:H86"/>
    <mergeCell ref="I86:L8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9.63"/>
    <col customWidth="1" min="2" max="6" width="8.25"/>
    <col customWidth="1" min="7" max="7" width="10.13"/>
    <col customWidth="1" min="8" max="9" width="8.25"/>
    <col customWidth="1" min="10" max="10" width="7.25"/>
    <col customWidth="1" min="11" max="11" width="3.63"/>
    <col customWidth="1" min="12" max="12" width="6.25"/>
    <col customWidth="1" min="13" max="13" width="6.75"/>
    <col customWidth="1" min="14" max="14" width="6.38"/>
    <col customWidth="1" min="15" max="15" width="6.75"/>
    <col customWidth="1" min="16" max="16" width="6.38"/>
    <col customWidth="1" min="17" max="17" width="26.63"/>
    <col customWidth="1" min="18" max="18" width="6.0"/>
    <col customWidth="1" min="19" max="19" width="6.25"/>
    <col customWidth="1" min="20" max="20" width="6.88"/>
    <col customWidth="1" min="21" max="21" width="5.88"/>
    <col customWidth="1" min="22" max="22" width="5.13"/>
    <col customWidth="1" min="23" max="24" width="5.88"/>
    <col customWidth="1" min="25" max="26" width="36.38"/>
  </cols>
  <sheetData>
    <row r="1">
      <c r="B1" s="1" t="s">
        <v>150</v>
      </c>
    </row>
    <row r="4">
      <c r="A4" s="1" t="s">
        <v>21</v>
      </c>
      <c r="B4" s="35" t="s">
        <v>22</v>
      </c>
      <c r="C4" s="35" t="s">
        <v>23</v>
      </c>
      <c r="D4" s="35" t="s">
        <v>24</v>
      </c>
      <c r="E4" s="35" t="s">
        <v>25</v>
      </c>
      <c r="F4" s="35" t="s">
        <v>60</v>
      </c>
      <c r="G4" s="4"/>
      <c r="H4" s="4"/>
      <c r="I4" s="4"/>
      <c r="J4" s="149" t="s">
        <v>151</v>
      </c>
      <c r="K4" s="150"/>
      <c r="L4" s="150"/>
      <c r="M4" s="150"/>
      <c r="N4" s="38" t="s">
        <v>40</v>
      </c>
    </row>
    <row r="5">
      <c r="A5" s="39" t="s">
        <v>41</v>
      </c>
      <c r="B5" s="63" t="s">
        <v>152</v>
      </c>
      <c r="C5" s="72" t="s">
        <v>138</v>
      </c>
      <c r="D5" s="73" t="s">
        <v>153</v>
      </c>
      <c r="E5" s="65" t="s">
        <v>63</v>
      </c>
      <c r="F5" s="80" t="s">
        <v>101</v>
      </c>
      <c r="G5" s="80" t="s">
        <v>49</v>
      </c>
      <c r="H5" s="80" t="s">
        <v>100</v>
      </c>
      <c r="I5" s="80" t="s">
        <v>138</v>
      </c>
      <c r="J5" s="151" t="s">
        <v>154</v>
      </c>
      <c r="K5" s="66"/>
      <c r="L5" s="74"/>
      <c r="M5" s="74"/>
      <c r="N5" s="38" t="s">
        <v>155</v>
      </c>
    </row>
    <row r="6">
      <c r="A6" s="67"/>
      <c r="B6" s="82"/>
      <c r="C6" s="82"/>
      <c r="D6" s="82"/>
      <c r="E6" s="82"/>
      <c r="F6" s="82"/>
      <c r="G6" s="82"/>
      <c r="H6" s="82"/>
      <c r="I6" s="82"/>
      <c r="J6" s="82"/>
      <c r="K6" s="49"/>
      <c r="L6" s="49"/>
      <c r="M6" s="49"/>
      <c r="N6" s="50"/>
    </row>
    <row r="7">
      <c r="A7" s="1" t="s">
        <v>52</v>
      </c>
      <c r="B7" s="68" t="s">
        <v>156</v>
      </c>
      <c r="E7" s="56"/>
      <c r="F7" s="56"/>
      <c r="G7" s="56"/>
      <c r="H7" s="56"/>
      <c r="I7" s="56"/>
      <c r="J7" s="56"/>
      <c r="K7" s="56"/>
      <c r="L7" s="49"/>
      <c r="M7" s="49"/>
      <c r="N7" s="38" t="s">
        <v>23</v>
      </c>
    </row>
    <row r="8">
      <c r="B8" s="49"/>
      <c r="C8" s="57" t="s">
        <v>157</v>
      </c>
      <c r="I8" s="56"/>
      <c r="J8" s="56"/>
      <c r="K8" s="56"/>
      <c r="L8" s="56"/>
      <c r="M8" s="56"/>
      <c r="N8" s="38" t="s">
        <v>23</v>
      </c>
    </row>
    <row r="9">
      <c r="B9" s="49"/>
      <c r="D9" s="83" t="s">
        <v>158</v>
      </c>
      <c r="J9" s="152"/>
      <c r="K9" s="152"/>
      <c r="L9" s="152"/>
      <c r="N9" s="38" t="s">
        <v>23</v>
      </c>
    </row>
    <row r="10">
      <c r="B10" s="49"/>
      <c r="C10" s="49"/>
      <c r="D10" s="49"/>
      <c r="E10" s="60" t="s">
        <v>159</v>
      </c>
      <c r="N10" s="38" t="s">
        <v>23</v>
      </c>
    </row>
    <row r="11">
      <c r="B11" s="49"/>
      <c r="C11" s="49"/>
      <c r="D11" s="49"/>
      <c r="E11" s="49"/>
      <c r="F11" s="86" t="s">
        <v>160</v>
      </c>
      <c r="I11" s="153"/>
      <c r="J11" s="49"/>
      <c r="K11" s="49"/>
      <c r="L11" s="49"/>
      <c r="M11" s="49"/>
      <c r="N11" s="38" t="s">
        <v>60</v>
      </c>
    </row>
    <row r="12">
      <c r="B12" s="49"/>
      <c r="C12" s="49"/>
      <c r="D12" s="49"/>
      <c r="E12" s="49"/>
      <c r="F12" s="49"/>
      <c r="G12" s="49"/>
      <c r="H12" s="49"/>
      <c r="I12" s="49"/>
      <c r="J12" s="116" t="s">
        <v>161</v>
      </c>
      <c r="M12" s="56"/>
      <c r="N12" s="38" t="s">
        <v>23</v>
      </c>
    </row>
    <row r="15">
      <c r="A15" s="1" t="s">
        <v>57</v>
      </c>
      <c r="B15" s="71" t="s">
        <v>162</v>
      </c>
      <c r="S15" s="71"/>
      <c r="T15" s="71"/>
      <c r="U15" s="71"/>
      <c r="V15" s="71"/>
      <c r="W15" s="71"/>
      <c r="X15" s="71"/>
      <c r="Y15" s="71"/>
      <c r="Z15" s="71"/>
    </row>
    <row r="16">
      <c r="A16" s="53"/>
    </row>
    <row r="17" ht="1.5" customHeight="1"/>
    <row r="18">
      <c r="A18" s="154" t="s">
        <v>163</v>
      </c>
      <c r="B18" s="155" t="s">
        <v>152</v>
      </c>
      <c r="C18" s="156" t="s">
        <v>50</v>
      </c>
      <c r="D18" s="157" t="s">
        <v>50</v>
      </c>
      <c r="E18" s="158" t="s">
        <v>154</v>
      </c>
      <c r="F18" s="25"/>
      <c r="G18" s="48"/>
      <c r="I18" s="159" t="s">
        <v>164</v>
      </c>
    </row>
    <row r="19">
      <c r="A19" s="20"/>
      <c r="B19" s="160"/>
      <c r="C19" s="161"/>
      <c r="D19" s="161"/>
      <c r="E19" s="161"/>
      <c r="F19" s="162"/>
      <c r="I19" s="50"/>
      <c r="J19" s="50"/>
      <c r="K19" s="50"/>
      <c r="L19" s="50"/>
      <c r="M19" s="50"/>
      <c r="N19" s="50"/>
    </row>
    <row r="20">
      <c r="A20" s="20"/>
      <c r="B20" s="163" t="s">
        <v>152</v>
      </c>
      <c r="C20" s="164" t="s">
        <v>100</v>
      </c>
      <c r="D20" s="77" t="s">
        <v>50</v>
      </c>
      <c r="E20" s="128" t="s">
        <v>165</v>
      </c>
      <c r="F20" s="165" t="s">
        <v>166</v>
      </c>
      <c r="G20" s="166" t="s">
        <v>154</v>
      </c>
      <c r="I20" s="167" t="s">
        <v>167</v>
      </c>
      <c r="Q20" s="2" t="s">
        <v>168</v>
      </c>
    </row>
    <row r="21">
      <c r="A21" s="20"/>
      <c r="B21" s="160"/>
      <c r="C21" s="161"/>
      <c r="D21" s="161"/>
      <c r="E21" s="161"/>
      <c r="F21" s="168"/>
      <c r="I21" s="169"/>
      <c r="J21" s="169"/>
      <c r="K21" s="169"/>
      <c r="L21" s="169"/>
      <c r="M21" s="169"/>
      <c r="N21" s="50"/>
    </row>
    <row r="22">
      <c r="A22" s="20"/>
      <c r="B22" s="63" t="s">
        <v>152</v>
      </c>
      <c r="C22" s="72" t="s">
        <v>50</v>
      </c>
      <c r="D22" s="73" t="s">
        <v>169</v>
      </c>
      <c r="E22" s="151" t="s">
        <v>154</v>
      </c>
      <c r="F22" s="170"/>
      <c r="G22" s="48"/>
      <c r="I22" s="159" t="s">
        <v>170</v>
      </c>
    </row>
    <row r="23">
      <c r="A23" s="20"/>
      <c r="B23" s="171"/>
      <c r="C23" s="172"/>
      <c r="D23" s="172"/>
      <c r="E23" s="172"/>
      <c r="F23" s="173"/>
      <c r="G23" s="4"/>
      <c r="I23" s="174"/>
      <c r="J23" s="174"/>
      <c r="K23" s="174"/>
      <c r="L23" s="174"/>
      <c r="M23" s="174"/>
      <c r="N23" s="50"/>
    </row>
    <row r="24">
      <c r="A24" s="20"/>
      <c r="B24" s="63" t="s">
        <v>152</v>
      </c>
      <c r="C24" s="72" t="s">
        <v>60</v>
      </c>
      <c r="D24" s="76" t="s">
        <v>169</v>
      </c>
      <c r="E24" s="128" t="s">
        <v>165</v>
      </c>
      <c r="F24" s="175"/>
      <c r="G24" s="176" t="s">
        <v>154</v>
      </c>
      <c r="H24" s="48"/>
      <c r="I24" s="159" t="s">
        <v>171</v>
      </c>
    </row>
    <row r="25">
      <c r="A25" s="20"/>
      <c r="B25" s="171"/>
      <c r="C25" s="172"/>
      <c r="D25" s="172"/>
      <c r="E25" s="172"/>
      <c r="F25" s="177"/>
      <c r="G25" s="6"/>
      <c r="I25" s="174"/>
      <c r="J25" s="174"/>
      <c r="K25" s="174"/>
      <c r="L25" s="174"/>
      <c r="M25" s="174"/>
      <c r="N25" s="50"/>
    </row>
    <row r="26">
      <c r="A26" s="20"/>
      <c r="B26" s="178" t="s">
        <v>152</v>
      </c>
      <c r="C26" s="41" t="s">
        <v>60</v>
      </c>
      <c r="D26" s="64" t="s">
        <v>42</v>
      </c>
      <c r="E26" s="128" t="s">
        <v>165</v>
      </c>
      <c r="F26" s="179"/>
      <c r="G26" s="180" t="s">
        <v>154</v>
      </c>
      <c r="H26" s="48"/>
      <c r="I26" s="159" t="s">
        <v>172</v>
      </c>
      <c r="N26" s="50"/>
    </row>
    <row r="27">
      <c r="A27" s="20"/>
      <c r="B27" s="181"/>
      <c r="C27" s="52"/>
      <c r="D27" s="52"/>
      <c r="E27" s="6"/>
      <c r="F27" s="52"/>
      <c r="G27" s="4"/>
      <c r="I27" s="49"/>
      <c r="J27" s="49"/>
      <c r="K27" s="49"/>
      <c r="L27" s="49"/>
      <c r="M27" s="49"/>
      <c r="N27" s="50"/>
    </row>
    <row r="28">
      <c r="A28" s="20"/>
      <c r="B28" s="63" t="s">
        <v>152</v>
      </c>
      <c r="C28" s="72" t="s">
        <v>60</v>
      </c>
      <c r="D28" s="76" t="s">
        <v>173</v>
      </c>
      <c r="E28" s="128" t="s">
        <v>165</v>
      </c>
      <c r="F28" s="182" t="s">
        <v>97</v>
      </c>
      <c r="G28" s="176" t="s">
        <v>154</v>
      </c>
      <c r="H28" s="48"/>
      <c r="I28" s="183" t="s">
        <v>174</v>
      </c>
    </row>
    <row r="29">
      <c r="A29" s="20"/>
      <c r="B29" s="184"/>
      <c r="C29" s="185"/>
      <c r="D29" s="185"/>
      <c r="E29" s="6"/>
      <c r="F29" s="185"/>
      <c r="G29" s="6"/>
      <c r="I29" s="49"/>
      <c r="J29" s="49"/>
      <c r="K29" s="49"/>
      <c r="L29" s="49"/>
      <c r="M29" s="49"/>
      <c r="N29" s="50"/>
    </row>
    <row r="30">
      <c r="A30" s="20"/>
      <c r="B30" s="63" t="s">
        <v>152</v>
      </c>
      <c r="C30" s="72" t="s">
        <v>60</v>
      </c>
      <c r="D30" s="73" t="s">
        <v>72</v>
      </c>
      <c r="E30" s="65" t="s">
        <v>165</v>
      </c>
      <c r="F30" s="186" t="s">
        <v>175</v>
      </c>
      <c r="G30" s="187" t="s">
        <v>106</v>
      </c>
      <c r="H30" s="176" t="s">
        <v>154</v>
      </c>
      <c r="I30" s="188" t="s">
        <v>176</v>
      </c>
      <c r="J30" s="188"/>
      <c r="K30" s="59" t="s">
        <v>177</v>
      </c>
    </row>
    <row r="31">
      <c r="B31" s="50"/>
      <c r="C31" s="50"/>
      <c r="D31" s="50"/>
      <c r="E31" s="50"/>
      <c r="F31" s="50"/>
      <c r="G31" s="50"/>
      <c r="H31" s="53"/>
      <c r="I31" s="49"/>
      <c r="J31" s="49"/>
      <c r="K31" s="2" t="s">
        <v>178</v>
      </c>
    </row>
    <row r="32">
      <c r="B32" s="49"/>
      <c r="C32" s="49"/>
      <c r="D32" s="49"/>
      <c r="E32" s="49"/>
      <c r="F32" s="49"/>
      <c r="G32" s="49"/>
      <c r="H32" s="49"/>
      <c r="I32" s="49"/>
      <c r="J32" s="49"/>
      <c r="K32" s="59" t="s">
        <v>110</v>
      </c>
    </row>
    <row r="33">
      <c r="B33" s="49"/>
      <c r="C33" s="49"/>
      <c r="D33" s="49"/>
      <c r="E33" s="49"/>
      <c r="F33" s="49"/>
      <c r="G33" s="49"/>
      <c r="H33" s="49"/>
      <c r="I33" s="49"/>
      <c r="J33" s="49"/>
    </row>
    <row r="34">
      <c r="B34" s="49"/>
      <c r="C34" s="49"/>
      <c r="D34" s="49"/>
      <c r="E34" s="49"/>
      <c r="F34" s="49"/>
      <c r="G34" s="49"/>
      <c r="H34" s="49"/>
      <c r="I34" s="49"/>
      <c r="J34" s="49"/>
      <c r="K34" s="49"/>
      <c r="L34" s="120">
        <v>0.0</v>
      </c>
      <c r="M34" s="120" t="s">
        <v>115</v>
      </c>
      <c r="N34" s="120">
        <v>0.0</v>
      </c>
      <c r="O34" s="120">
        <v>0.0</v>
      </c>
      <c r="P34" s="121" t="s">
        <v>100</v>
      </c>
      <c r="Q34" s="122" t="s">
        <v>116</v>
      </c>
      <c r="R34" s="122" t="s">
        <v>117</v>
      </c>
      <c r="S34" s="122" t="s">
        <v>118</v>
      </c>
      <c r="T34" s="122" t="s">
        <v>116</v>
      </c>
      <c r="U34" s="123" t="s">
        <v>49</v>
      </c>
      <c r="V34" s="124" t="s">
        <v>119</v>
      </c>
      <c r="W34" s="124" t="s">
        <v>119</v>
      </c>
      <c r="X34" s="124" t="s">
        <v>119</v>
      </c>
    </row>
    <row r="35">
      <c r="B35" s="49"/>
      <c r="C35" s="49"/>
      <c r="D35" s="49"/>
      <c r="E35" s="49"/>
      <c r="F35" s="49"/>
      <c r="G35" s="49"/>
      <c r="H35" s="49"/>
      <c r="I35" s="49"/>
      <c r="J35" s="49"/>
      <c r="K35" s="49"/>
      <c r="P35" s="49"/>
      <c r="Q35" s="49"/>
      <c r="R35" s="49"/>
      <c r="S35" s="49"/>
      <c r="T35" s="49"/>
      <c r="U35" s="49"/>
      <c r="V35" s="49"/>
      <c r="W35" s="49"/>
      <c r="X35" s="49"/>
    </row>
    <row r="36">
      <c r="B36" s="49"/>
      <c r="C36" s="49"/>
      <c r="D36" s="49"/>
      <c r="E36" s="49"/>
      <c r="F36" s="49"/>
      <c r="G36" s="49"/>
      <c r="H36" s="49"/>
      <c r="I36" s="49"/>
      <c r="J36" s="49"/>
      <c r="K36" s="49"/>
      <c r="L36" s="125" t="s">
        <v>120</v>
      </c>
    </row>
    <row r="37">
      <c r="B37" s="49"/>
      <c r="C37" s="49"/>
      <c r="D37" s="49"/>
      <c r="E37" s="49"/>
      <c r="F37" s="49"/>
      <c r="G37" s="49"/>
      <c r="H37" s="49"/>
      <c r="I37" s="49"/>
      <c r="J37" s="49"/>
      <c r="K37" s="49"/>
      <c r="P37" s="126" t="s">
        <v>121</v>
      </c>
      <c r="T37" s="49"/>
      <c r="U37" s="49"/>
      <c r="V37" s="49"/>
      <c r="W37" s="49"/>
      <c r="X37" s="49"/>
    </row>
    <row r="38">
      <c r="B38" s="49"/>
      <c r="C38" s="49"/>
      <c r="D38" s="49"/>
      <c r="E38" s="49"/>
      <c r="F38" s="49"/>
      <c r="G38" s="49"/>
      <c r="H38" s="49"/>
      <c r="I38" s="49"/>
      <c r="J38" s="49"/>
      <c r="K38" s="49"/>
      <c r="P38" s="49"/>
      <c r="Q38" s="68" t="s">
        <v>179</v>
      </c>
      <c r="U38" s="49"/>
      <c r="V38" s="49"/>
      <c r="W38" s="49"/>
      <c r="X38" s="49"/>
    </row>
    <row r="39">
      <c r="B39" s="49"/>
      <c r="C39" s="49"/>
      <c r="D39" s="49"/>
      <c r="E39" s="49"/>
      <c r="F39" s="49"/>
      <c r="G39" s="49"/>
      <c r="H39" s="49"/>
      <c r="I39" s="49"/>
      <c r="J39" s="49"/>
      <c r="K39" s="49"/>
      <c r="P39" s="49"/>
      <c r="Q39" s="49"/>
      <c r="R39" s="49"/>
      <c r="S39" s="49"/>
      <c r="T39" s="49"/>
      <c r="U39" s="60" t="s">
        <v>123</v>
      </c>
      <c r="X39" s="49"/>
    </row>
    <row r="40">
      <c r="B40" s="49"/>
      <c r="C40" s="49"/>
      <c r="D40" s="49"/>
      <c r="E40" s="49"/>
      <c r="F40" s="49"/>
      <c r="G40" s="49"/>
      <c r="H40" s="49"/>
      <c r="I40" s="49"/>
      <c r="J40" s="49"/>
      <c r="K40" s="49"/>
      <c r="V40" s="83" t="s">
        <v>180</v>
      </c>
    </row>
    <row r="41">
      <c r="B41" s="38" t="s">
        <v>181</v>
      </c>
      <c r="E41" s="49"/>
      <c r="F41" s="189" t="s">
        <v>63</v>
      </c>
      <c r="G41" s="189" t="s">
        <v>50</v>
      </c>
      <c r="H41" s="50"/>
      <c r="I41" s="50"/>
      <c r="K41" s="190"/>
      <c r="L41" s="191" t="s">
        <v>182</v>
      </c>
      <c r="M41" s="6"/>
      <c r="N41" s="6"/>
      <c r="O41" s="6"/>
      <c r="P41" s="6"/>
      <c r="Q41" s="6"/>
      <c r="R41" s="6"/>
      <c r="S41" s="6"/>
      <c r="T41" s="6"/>
      <c r="U41" s="6"/>
      <c r="V41" s="6"/>
      <c r="W41" s="6"/>
      <c r="X41" s="7"/>
      <c r="Y41" s="191" t="s">
        <v>183</v>
      </c>
      <c r="Z41" s="7"/>
    </row>
    <row r="42">
      <c r="E42" s="49"/>
      <c r="F42" s="49"/>
      <c r="G42" s="49"/>
      <c r="H42" s="49"/>
      <c r="I42" s="49"/>
      <c r="K42" s="190"/>
      <c r="L42" s="192"/>
      <c r="M42" s="6"/>
      <c r="N42" s="6"/>
      <c r="O42" s="6"/>
      <c r="P42" s="6"/>
      <c r="Q42" s="6"/>
      <c r="R42" s="7"/>
    </row>
    <row r="43">
      <c r="B43" s="38" t="s">
        <v>181</v>
      </c>
      <c r="E43" s="49"/>
      <c r="F43" s="189" t="s">
        <v>63</v>
      </c>
      <c r="G43" s="189" t="s">
        <v>63</v>
      </c>
      <c r="H43" s="50"/>
      <c r="I43" s="50"/>
      <c r="K43" s="190"/>
      <c r="L43" s="191" t="s">
        <v>184</v>
      </c>
      <c r="M43" s="6"/>
      <c r="N43" s="6"/>
      <c r="O43" s="6"/>
      <c r="P43" s="6"/>
      <c r="Q43" s="6"/>
      <c r="R43" s="6"/>
      <c r="S43" s="6"/>
      <c r="T43" s="6"/>
      <c r="U43" s="6"/>
      <c r="V43" s="6"/>
      <c r="W43" s="6"/>
      <c r="X43" s="7"/>
      <c r="Y43" s="191" t="s">
        <v>183</v>
      </c>
      <c r="Z43" s="7"/>
    </row>
    <row r="44">
      <c r="E44" s="49"/>
      <c r="F44" s="49"/>
      <c r="G44" s="49"/>
      <c r="H44" s="49"/>
      <c r="I44" s="49"/>
      <c r="K44" s="190"/>
      <c r="L44" s="192"/>
      <c r="M44" s="6"/>
      <c r="N44" s="6"/>
      <c r="O44" s="6"/>
      <c r="P44" s="6"/>
      <c r="Q44" s="6"/>
      <c r="R44" s="7"/>
    </row>
    <row r="45">
      <c r="E45" s="49"/>
      <c r="F45" s="189" t="s">
        <v>63</v>
      </c>
      <c r="G45" s="189" t="s">
        <v>100</v>
      </c>
      <c r="H45" s="50"/>
      <c r="I45" s="50"/>
      <c r="K45" s="190"/>
      <c r="L45" s="191" t="s">
        <v>185</v>
      </c>
      <c r="M45" s="6"/>
      <c r="N45" s="6"/>
      <c r="O45" s="6"/>
      <c r="P45" s="6"/>
      <c r="Q45" s="6"/>
      <c r="R45" s="6"/>
      <c r="S45" s="6"/>
      <c r="T45" s="6"/>
      <c r="U45" s="6"/>
      <c r="V45" s="6"/>
      <c r="W45" s="6"/>
      <c r="X45" s="7"/>
      <c r="Y45" s="191" t="s">
        <v>183</v>
      </c>
      <c r="Z45" s="7"/>
    </row>
    <row r="46">
      <c r="E46" s="49"/>
      <c r="F46" s="49"/>
      <c r="G46" s="49"/>
      <c r="H46" s="49"/>
      <c r="I46" s="49"/>
      <c r="K46" s="190"/>
      <c r="L46" s="192"/>
      <c r="M46" s="6"/>
      <c r="N46" s="6"/>
      <c r="O46" s="6"/>
      <c r="P46" s="6"/>
      <c r="Q46" s="6"/>
      <c r="R46" s="7"/>
    </row>
    <row r="47">
      <c r="E47" s="49"/>
      <c r="F47" s="189" t="s">
        <v>63</v>
      </c>
      <c r="G47" s="189" t="s">
        <v>138</v>
      </c>
      <c r="H47" s="50"/>
      <c r="I47" s="50"/>
      <c r="K47" s="190"/>
      <c r="L47" s="191" t="s">
        <v>186</v>
      </c>
      <c r="M47" s="6"/>
      <c r="N47" s="6"/>
      <c r="O47" s="6"/>
      <c r="P47" s="6"/>
      <c r="Q47" s="6"/>
      <c r="R47" s="6"/>
      <c r="S47" s="6"/>
      <c r="T47" s="6"/>
      <c r="U47" s="6"/>
      <c r="V47" s="6"/>
      <c r="W47" s="6"/>
      <c r="X47" s="7"/>
      <c r="Y47" s="191" t="s">
        <v>183</v>
      </c>
      <c r="Z47" s="7"/>
    </row>
    <row r="48">
      <c r="E48" s="49"/>
      <c r="F48" s="50"/>
      <c r="G48" s="50"/>
      <c r="H48" s="50"/>
      <c r="I48" s="50"/>
      <c r="K48" s="190"/>
      <c r="L48" s="192"/>
      <c r="M48" s="6"/>
      <c r="N48" s="6"/>
      <c r="O48" s="6"/>
      <c r="P48" s="6"/>
      <c r="Q48" s="6"/>
      <c r="R48" s="7"/>
    </row>
    <row r="49">
      <c r="E49" s="49"/>
      <c r="F49" s="189" t="s">
        <v>63</v>
      </c>
      <c r="G49" s="189" t="s">
        <v>126</v>
      </c>
      <c r="H49" s="50"/>
      <c r="I49" s="50"/>
      <c r="K49" s="190"/>
      <c r="L49" s="191" t="s">
        <v>187</v>
      </c>
      <c r="M49" s="6"/>
      <c r="N49" s="6"/>
      <c r="O49" s="6"/>
      <c r="P49" s="6"/>
      <c r="Q49" s="6"/>
      <c r="R49" s="6"/>
      <c r="S49" s="6"/>
      <c r="T49" s="6"/>
      <c r="U49" s="6"/>
      <c r="V49" s="6"/>
      <c r="W49" s="6"/>
      <c r="X49" s="7"/>
      <c r="Y49" s="191" t="s">
        <v>183</v>
      </c>
      <c r="Z49" s="7"/>
    </row>
    <row r="50">
      <c r="E50" s="49"/>
      <c r="F50" s="50"/>
      <c r="G50" s="50"/>
      <c r="H50" s="50"/>
      <c r="I50" s="50"/>
      <c r="K50" s="190"/>
      <c r="L50" s="192"/>
      <c r="M50" s="6"/>
      <c r="N50" s="6"/>
      <c r="O50" s="6"/>
      <c r="P50" s="6"/>
      <c r="Q50" s="6"/>
      <c r="R50" s="7"/>
    </row>
    <row r="51">
      <c r="E51" s="49"/>
      <c r="F51" s="189" t="s">
        <v>63</v>
      </c>
      <c r="G51" s="189" t="s">
        <v>188</v>
      </c>
      <c r="H51" s="50"/>
      <c r="I51" s="50"/>
      <c r="K51" s="190"/>
      <c r="L51" s="191" t="s">
        <v>189</v>
      </c>
      <c r="M51" s="6"/>
      <c r="N51" s="6"/>
      <c r="O51" s="6"/>
      <c r="P51" s="6"/>
      <c r="Q51" s="6"/>
      <c r="R51" s="6"/>
      <c r="S51" s="6"/>
      <c r="T51" s="6"/>
      <c r="U51" s="6"/>
      <c r="V51" s="6"/>
      <c r="W51" s="6"/>
      <c r="X51" s="7"/>
      <c r="Y51" s="191" t="s">
        <v>183</v>
      </c>
      <c r="Z51" s="7"/>
    </row>
    <row r="52">
      <c r="E52" s="49"/>
      <c r="F52" s="50"/>
      <c r="G52" s="50"/>
      <c r="H52" s="50"/>
      <c r="I52" s="50"/>
      <c r="K52" s="190"/>
      <c r="L52" s="192"/>
      <c r="M52" s="6"/>
      <c r="N52" s="6"/>
      <c r="O52" s="6"/>
      <c r="P52" s="6"/>
      <c r="Q52" s="6"/>
      <c r="R52" s="7"/>
    </row>
    <row r="53">
      <c r="E53" s="49"/>
      <c r="F53" s="189" t="s">
        <v>63</v>
      </c>
      <c r="G53" s="189" t="s">
        <v>131</v>
      </c>
      <c r="H53" s="50"/>
      <c r="I53" s="50"/>
      <c r="K53" s="190"/>
      <c r="L53" s="191" t="s">
        <v>190</v>
      </c>
      <c r="M53" s="6"/>
      <c r="N53" s="6"/>
      <c r="O53" s="6"/>
      <c r="P53" s="6"/>
      <c r="Q53" s="6"/>
      <c r="R53" s="6"/>
      <c r="S53" s="6"/>
      <c r="T53" s="6"/>
      <c r="U53" s="6"/>
      <c r="V53" s="6"/>
      <c r="W53" s="6"/>
      <c r="X53" s="7"/>
      <c r="Y53" s="191" t="s">
        <v>183</v>
      </c>
      <c r="Z53" s="7"/>
    </row>
    <row r="54">
      <c r="E54" s="49"/>
      <c r="F54" s="50"/>
      <c r="G54" s="50"/>
      <c r="H54" s="50"/>
      <c r="I54" s="50"/>
      <c r="K54" s="190"/>
      <c r="L54" s="192"/>
      <c r="M54" s="6"/>
      <c r="N54" s="6"/>
      <c r="O54" s="6"/>
      <c r="P54" s="7"/>
      <c r="Q54" s="192"/>
      <c r="R54" s="7"/>
    </row>
    <row r="55">
      <c r="E55" s="49"/>
      <c r="F55" s="189" t="s">
        <v>63</v>
      </c>
      <c r="G55" s="189" t="s">
        <v>137</v>
      </c>
      <c r="H55" s="50"/>
      <c r="I55" s="50"/>
      <c r="K55" s="190"/>
      <c r="L55" s="191" t="s">
        <v>191</v>
      </c>
      <c r="M55" s="6"/>
      <c r="N55" s="6"/>
      <c r="O55" s="6"/>
      <c r="P55" s="6"/>
      <c r="Q55" s="6"/>
      <c r="R55" s="6"/>
      <c r="S55" s="6"/>
      <c r="T55" s="6"/>
      <c r="U55" s="6"/>
      <c r="V55" s="6"/>
      <c r="W55" s="6"/>
      <c r="X55" s="7"/>
      <c r="Y55" s="191" t="s">
        <v>183</v>
      </c>
      <c r="Z55" s="7"/>
    </row>
    <row r="56">
      <c r="E56" s="49"/>
      <c r="F56" s="50"/>
      <c r="G56" s="50"/>
      <c r="H56" s="50"/>
      <c r="I56" s="50"/>
      <c r="K56" s="190"/>
      <c r="L56" s="192"/>
      <c r="M56" s="6"/>
      <c r="N56" s="6"/>
      <c r="O56" s="6"/>
      <c r="P56" s="6"/>
      <c r="Q56" s="6"/>
      <c r="R56" s="7"/>
    </row>
    <row r="57">
      <c r="E57" s="49"/>
      <c r="F57" s="189" t="s">
        <v>131</v>
      </c>
      <c r="G57" s="189" t="s">
        <v>192</v>
      </c>
      <c r="H57" s="189" t="s">
        <v>193</v>
      </c>
      <c r="I57" s="50"/>
      <c r="K57" s="190"/>
      <c r="L57" s="191" t="s">
        <v>194</v>
      </c>
      <c r="M57" s="6"/>
      <c r="N57" s="6"/>
      <c r="O57" s="6"/>
      <c r="P57" s="6"/>
      <c r="Q57" s="6"/>
      <c r="R57" s="6"/>
      <c r="S57" s="6"/>
      <c r="T57" s="6"/>
      <c r="U57" s="6"/>
      <c r="V57" s="6"/>
      <c r="W57" s="6"/>
      <c r="X57" s="7"/>
      <c r="Y57" s="191" t="s">
        <v>195</v>
      </c>
      <c r="Z57" s="7"/>
    </row>
    <row r="58">
      <c r="E58" s="49"/>
      <c r="F58" s="50"/>
      <c r="G58" s="50"/>
      <c r="H58" s="50"/>
      <c r="I58" s="50"/>
      <c r="K58" s="190"/>
      <c r="L58" s="192"/>
      <c r="M58" s="6"/>
      <c r="N58" s="6"/>
      <c r="O58" s="6"/>
      <c r="P58" s="6"/>
      <c r="Q58" s="6"/>
      <c r="R58" s="7"/>
    </row>
    <row r="59">
      <c r="E59" s="49"/>
      <c r="F59" s="189" t="s">
        <v>137</v>
      </c>
      <c r="G59" s="189" t="s">
        <v>192</v>
      </c>
      <c r="H59" s="50"/>
      <c r="I59" s="50"/>
      <c r="K59" s="190"/>
      <c r="L59" s="191" t="s">
        <v>196</v>
      </c>
      <c r="M59" s="6"/>
      <c r="N59" s="6"/>
      <c r="O59" s="6"/>
      <c r="P59" s="6"/>
      <c r="Q59" s="6"/>
      <c r="R59" s="6"/>
      <c r="S59" s="6"/>
      <c r="T59" s="6"/>
      <c r="U59" s="6"/>
      <c r="V59" s="6"/>
      <c r="W59" s="6"/>
      <c r="X59" s="7"/>
      <c r="Y59" s="191" t="s">
        <v>195</v>
      </c>
      <c r="Z59" s="7"/>
    </row>
    <row r="60">
      <c r="E60" s="49"/>
      <c r="F60" s="50"/>
      <c r="G60" s="50"/>
      <c r="H60" s="50"/>
      <c r="I60" s="50"/>
      <c r="K60" s="190"/>
      <c r="L60" s="192"/>
      <c r="M60" s="6"/>
      <c r="N60" s="6"/>
      <c r="O60" s="6"/>
      <c r="P60" s="6"/>
      <c r="Q60" s="6"/>
      <c r="R60" s="7"/>
    </row>
    <row r="61">
      <c r="E61" s="49"/>
      <c r="F61" s="189" t="s">
        <v>197</v>
      </c>
      <c r="G61" s="189" t="s">
        <v>192</v>
      </c>
      <c r="H61" s="50"/>
      <c r="I61" s="50"/>
      <c r="K61" s="190"/>
      <c r="L61" s="191" t="s">
        <v>198</v>
      </c>
      <c r="M61" s="6"/>
      <c r="N61" s="6"/>
      <c r="O61" s="6"/>
      <c r="P61" s="6"/>
      <c r="Q61" s="6"/>
      <c r="R61" s="6"/>
      <c r="S61" s="6"/>
      <c r="T61" s="6"/>
      <c r="U61" s="6"/>
      <c r="V61" s="6"/>
      <c r="W61" s="6"/>
      <c r="X61" s="7"/>
      <c r="Y61" s="191" t="s">
        <v>195</v>
      </c>
      <c r="Z61" s="7"/>
    </row>
    <row r="62">
      <c r="E62" s="49"/>
      <c r="F62" s="50"/>
      <c r="G62" s="50"/>
      <c r="H62" s="50"/>
      <c r="I62" s="50"/>
      <c r="K62" s="190"/>
      <c r="L62" s="192"/>
      <c r="M62" s="6"/>
      <c r="N62" s="6"/>
      <c r="O62" s="6"/>
      <c r="P62" s="6"/>
      <c r="Q62" s="6"/>
      <c r="R62" s="7"/>
    </row>
    <row r="63">
      <c r="E63" s="49"/>
      <c r="F63" s="193" t="s">
        <v>199</v>
      </c>
      <c r="G63" s="193" t="s">
        <v>192</v>
      </c>
      <c r="H63" s="50"/>
      <c r="I63" s="50"/>
      <c r="K63" s="190"/>
      <c r="L63" s="191" t="s">
        <v>200</v>
      </c>
      <c r="M63" s="6"/>
      <c r="N63" s="6"/>
      <c r="O63" s="6"/>
      <c r="P63" s="7"/>
      <c r="Q63" s="191" t="s">
        <v>195</v>
      </c>
      <c r="R63" s="7"/>
      <c r="S63" s="2"/>
      <c r="T63" s="2"/>
      <c r="U63" s="2"/>
      <c r="V63" s="2"/>
      <c r="W63" s="2"/>
      <c r="X63" s="2"/>
      <c r="Y63" s="2"/>
      <c r="Z63" s="2"/>
    </row>
    <row r="64">
      <c r="E64" s="49"/>
      <c r="F64" s="50"/>
      <c r="G64" s="50"/>
      <c r="H64" s="50"/>
      <c r="I64" s="50"/>
      <c r="K64" s="190"/>
      <c r="L64" s="192"/>
      <c r="M64" s="6"/>
      <c r="N64" s="6"/>
      <c r="O64" s="6"/>
      <c r="P64" s="6"/>
      <c r="Q64" s="6"/>
      <c r="R64" s="7"/>
    </row>
    <row r="65">
      <c r="E65" s="49"/>
      <c r="F65" s="193" t="s">
        <v>45</v>
      </c>
      <c r="G65" s="193" t="s">
        <v>192</v>
      </c>
      <c r="H65" s="193" t="s">
        <v>193</v>
      </c>
      <c r="I65" s="50"/>
      <c r="K65" s="190"/>
      <c r="L65" s="194"/>
      <c r="M65" s="6"/>
      <c r="N65" s="6"/>
      <c r="O65" s="6"/>
      <c r="P65" s="7"/>
      <c r="Q65" s="191" t="s">
        <v>201</v>
      </c>
      <c r="R65" s="7"/>
      <c r="S65" s="2"/>
      <c r="T65" s="2"/>
      <c r="U65" s="2"/>
      <c r="V65" s="2"/>
      <c r="W65" s="2"/>
      <c r="X65" s="2"/>
      <c r="Y65" s="2"/>
      <c r="Z65" s="2"/>
    </row>
    <row r="66">
      <c r="E66" s="49"/>
      <c r="F66" s="50"/>
      <c r="G66" s="50"/>
      <c r="H66" s="50"/>
      <c r="I66" s="50"/>
      <c r="K66" s="190"/>
      <c r="L66" s="192"/>
      <c r="M66" s="6"/>
      <c r="N66" s="6"/>
      <c r="O66" s="6"/>
      <c r="P66" s="7"/>
      <c r="Q66" s="170"/>
      <c r="R66" s="170"/>
    </row>
    <row r="67">
      <c r="E67" s="49"/>
      <c r="F67" s="193" t="s">
        <v>202</v>
      </c>
      <c r="G67" s="193" t="s">
        <v>192</v>
      </c>
      <c r="H67" s="74"/>
      <c r="I67" s="50"/>
      <c r="K67" s="190"/>
      <c r="L67" s="191" t="s">
        <v>203</v>
      </c>
      <c r="M67" s="6"/>
      <c r="N67" s="6"/>
      <c r="O67" s="6"/>
      <c r="P67" s="6"/>
      <c r="Q67" s="6"/>
      <c r="R67" s="7"/>
      <c r="S67" s="2"/>
      <c r="T67" s="2"/>
      <c r="U67" s="2"/>
      <c r="V67" s="2"/>
      <c r="W67" s="2"/>
      <c r="X67" s="2"/>
      <c r="Y67" s="2"/>
      <c r="Z67" s="2"/>
    </row>
    <row r="68">
      <c r="E68" s="49"/>
      <c r="F68" s="50"/>
      <c r="G68" s="50"/>
      <c r="H68" s="50"/>
      <c r="I68" s="50"/>
      <c r="K68" s="190"/>
      <c r="L68" s="192"/>
      <c r="M68" s="6"/>
      <c r="N68" s="6"/>
      <c r="O68" s="6"/>
      <c r="P68" s="7"/>
      <c r="Q68" s="170"/>
      <c r="R68" s="170"/>
    </row>
    <row r="69">
      <c r="E69" s="49"/>
      <c r="F69" s="193" t="s">
        <v>204</v>
      </c>
      <c r="G69" s="193" t="s">
        <v>192</v>
      </c>
      <c r="H69" s="193" t="s">
        <v>193</v>
      </c>
      <c r="I69" s="193" t="s">
        <v>205</v>
      </c>
      <c r="K69" s="190"/>
      <c r="L69" s="191" t="s">
        <v>206</v>
      </c>
      <c r="M69" s="6"/>
      <c r="N69" s="6"/>
      <c r="O69" s="6"/>
      <c r="P69" s="7"/>
      <c r="Q69" s="195" t="s">
        <v>195</v>
      </c>
      <c r="R69" s="7"/>
      <c r="S69" s="196"/>
      <c r="T69" s="196"/>
      <c r="U69" s="196"/>
      <c r="V69" s="196"/>
      <c r="W69" s="196"/>
      <c r="X69" s="196"/>
      <c r="Y69" s="196"/>
      <c r="Z69" s="196"/>
    </row>
    <row r="70">
      <c r="E70" s="49"/>
      <c r="F70" s="50"/>
      <c r="G70" s="50"/>
      <c r="H70" s="50"/>
      <c r="I70" s="50"/>
      <c r="K70" s="190"/>
      <c r="L70" s="192"/>
      <c r="M70" s="6"/>
      <c r="N70" s="6"/>
      <c r="O70" s="6"/>
      <c r="P70" s="7"/>
      <c r="Q70" s="197"/>
      <c r="R70" s="197"/>
      <c r="S70" s="198"/>
      <c r="T70" s="198"/>
      <c r="U70" s="198"/>
      <c r="V70" s="198"/>
      <c r="W70" s="198"/>
      <c r="X70" s="198"/>
      <c r="Y70" s="198"/>
      <c r="Z70" s="198"/>
    </row>
    <row r="71">
      <c r="E71" s="49"/>
      <c r="F71" s="189" t="s">
        <v>127</v>
      </c>
      <c r="G71" s="189" t="s">
        <v>192</v>
      </c>
      <c r="H71" s="50"/>
      <c r="I71" s="50"/>
      <c r="K71" s="190"/>
      <c r="L71" s="199" t="s">
        <v>207</v>
      </c>
      <c r="M71" s="6"/>
      <c r="N71" s="6"/>
      <c r="O71" s="6"/>
      <c r="P71" s="6"/>
      <c r="Q71" s="6"/>
      <c r="R71" s="6"/>
      <c r="S71" s="6"/>
      <c r="T71" s="6"/>
      <c r="U71" s="6"/>
      <c r="V71" s="6"/>
      <c r="W71" s="6"/>
      <c r="X71" s="7"/>
      <c r="Y71" s="198"/>
      <c r="Z71" s="198"/>
    </row>
    <row r="72">
      <c r="E72" s="49"/>
      <c r="F72" s="50"/>
      <c r="G72" s="50"/>
      <c r="H72" s="50"/>
      <c r="I72" s="50"/>
      <c r="K72" s="190"/>
      <c r="L72" s="200"/>
      <c r="M72" s="6"/>
      <c r="N72" s="6"/>
      <c r="O72" s="6"/>
      <c r="P72" s="7"/>
      <c r="Q72" s="197"/>
      <c r="R72" s="197"/>
      <c r="S72" s="198"/>
      <c r="T72" s="198"/>
      <c r="U72" s="198"/>
      <c r="V72" s="198"/>
      <c r="W72" s="198"/>
      <c r="X72" s="198"/>
      <c r="Y72" s="198"/>
      <c r="Z72" s="198"/>
    </row>
    <row r="73">
      <c r="E73" s="49"/>
      <c r="F73" s="189" t="s">
        <v>208</v>
      </c>
      <c r="G73" s="189" t="s">
        <v>192</v>
      </c>
      <c r="H73" s="189" t="s">
        <v>193</v>
      </c>
      <c r="I73" s="50"/>
      <c r="K73" s="190"/>
      <c r="L73" s="199" t="s">
        <v>209</v>
      </c>
      <c r="M73" s="6"/>
      <c r="N73" s="6"/>
      <c r="O73" s="6"/>
      <c r="P73" s="6"/>
      <c r="Q73" s="6"/>
      <c r="R73" s="6"/>
      <c r="S73" s="6"/>
      <c r="T73" s="6"/>
      <c r="U73" s="6"/>
      <c r="V73" s="6"/>
      <c r="W73" s="6"/>
      <c r="X73" s="7"/>
      <c r="Y73" s="198"/>
      <c r="Z73" s="198"/>
    </row>
    <row r="74">
      <c r="B74" s="38"/>
      <c r="C74" s="38"/>
      <c r="D74" s="38"/>
      <c r="E74" s="49"/>
      <c r="F74" s="38"/>
      <c r="G74" s="38"/>
      <c r="H74" s="38"/>
      <c r="I74" s="50"/>
      <c r="K74" s="49"/>
      <c r="L74" s="201"/>
      <c r="M74" s="201"/>
      <c r="N74" s="201"/>
      <c r="O74" s="201"/>
      <c r="P74" s="201"/>
      <c r="Q74" s="201"/>
      <c r="R74" s="201"/>
      <c r="S74" s="201"/>
      <c r="T74" s="201"/>
      <c r="U74" s="201"/>
      <c r="V74" s="201"/>
      <c r="W74" s="201"/>
      <c r="X74" s="201"/>
      <c r="Y74" s="198"/>
      <c r="Z74" s="198"/>
    </row>
    <row r="75">
      <c r="B75" s="38"/>
      <c r="C75" s="38"/>
      <c r="D75" s="38"/>
      <c r="E75" s="49"/>
      <c r="F75" s="189" t="s">
        <v>210</v>
      </c>
      <c r="G75" s="189" t="s">
        <v>192</v>
      </c>
      <c r="H75" s="38"/>
      <c r="I75" s="50"/>
      <c r="K75" s="49"/>
      <c r="L75" s="201" t="s">
        <v>211</v>
      </c>
      <c r="Y75" s="198"/>
      <c r="Z75" s="198"/>
    </row>
    <row r="76">
      <c r="B76" s="38"/>
      <c r="C76" s="38"/>
      <c r="D76" s="38"/>
      <c r="E76" s="49"/>
      <c r="F76" s="38"/>
      <c r="G76" s="38"/>
      <c r="H76" s="38"/>
      <c r="I76" s="50"/>
      <c r="K76" s="49"/>
      <c r="L76" s="201"/>
      <c r="M76" s="201"/>
      <c r="N76" s="201"/>
      <c r="O76" s="201"/>
      <c r="P76" s="201"/>
      <c r="Q76" s="201"/>
      <c r="R76" s="201"/>
      <c r="S76" s="201"/>
      <c r="T76" s="201"/>
      <c r="U76" s="201"/>
      <c r="V76" s="201"/>
      <c r="W76" s="201"/>
      <c r="X76" s="201"/>
      <c r="Y76" s="198"/>
      <c r="Z76" s="198"/>
    </row>
    <row r="77" ht="14.25" customHeight="1">
      <c r="B77" s="38"/>
      <c r="C77" s="38"/>
      <c r="D77" s="38"/>
      <c r="E77" s="49"/>
      <c r="F77" s="189" t="s">
        <v>212</v>
      </c>
      <c r="G77" s="189" t="s">
        <v>213</v>
      </c>
      <c r="H77" s="189" t="s">
        <v>193</v>
      </c>
      <c r="I77" s="189" t="s">
        <v>205</v>
      </c>
      <c r="K77" s="49"/>
      <c r="L77" s="201" t="s">
        <v>214</v>
      </c>
      <c r="Y77" s="198"/>
      <c r="Z77" s="198"/>
    </row>
    <row r="78">
      <c r="B78" s="38"/>
      <c r="C78" s="38"/>
      <c r="D78" s="38"/>
      <c r="E78" s="49"/>
      <c r="F78" s="38"/>
      <c r="G78" s="38"/>
      <c r="H78" s="38"/>
      <c r="I78" s="50"/>
      <c r="K78" s="49"/>
      <c r="L78" s="201"/>
      <c r="M78" s="201"/>
      <c r="N78" s="201"/>
      <c r="O78" s="201"/>
      <c r="P78" s="201"/>
      <c r="Q78" s="201"/>
      <c r="R78" s="201"/>
      <c r="S78" s="201"/>
      <c r="T78" s="201"/>
      <c r="U78" s="201"/>
      <c r="V78" s="201"/>
      <c r="W78" s="201"/>
      <c r="X78" s="201"/>
      <c r="Y78" s="198"/>
      <c r="Z78" s="198"/>
    </row>
    <row r="79">
      <c r="B79" s="38"/>
      <c r="C79" s="38"/>
      <c r="D79" s="38"/>
      <c r="E79" s="49"/>
      <c r="F79" s="189" t="s">
        <v>215</v>
      </c>
      <c r="G79" s="189" t="s">
        <v>192</v>
      </c>
      <c r="H79" s="38"/>
      <c r="I79" s="50"/>
      <c r="K79" s="49"/>
      <c r="L79" s="201" t="s">
        <v>216</v>
      </c>
      <c r="Y79" s="198"/>
      <c r="Z79" s="198"/>
    </row>
    <row r="80">
      <c r="B80" s="38"/>
      <c r="C80" s="38"/>
      <c r="D80" s="38"/>
      <c r="E80" s="49"/>
      <c r="F80" s="38"/>
      <c r="G80" s="38"/>
      <c r="H80" s="38"/>
      <c r="I80" s="50"/>
      <c r="K80" s="49"/>
      <c r="L80" s="201"/>
      <c r="M80" s="201"/>
      <c r="N80" s="201"/>
      <c r="O80" s="201"/>
      <c r="P80" s="201"/>
      <c r="Q80" s="201"/>
      <c r="R80" s="201"/>
      <c r="S80" s="201"/>
      <c r="T80" s="201"/>
      <c r="U80" s="201"/>
      <c r="V80" s="201"/>
      <c r="W80" s="201"/>
      <c r="X80" s="201"/>
      <c r="Y80" s="198"/>
      <c r="Z80" s="198"/>
    </row>
    <row r="81" ht="12.0" customHeight="1">
      <c r="B81" s="38"/>
      <c r="C81" s="38"/>
      <c r="D81" s="38"/>
      <c r="E81" s="49"/>
      <c r="F81" s="189" t="s">
        <v>217</v>
      </c>
      <c r="G81" s="189" t="s">
        <v>213</v>
      </c>
      <c r="H81" s="189" t="s">
        <v>193</v>
      </c>
      <c r="I81" s="202"/>
      <c r="K81" s="49"/>
      <c r="L81" s="201" t="s">
        <v>218</v>
      </c>
      <c r="Y81" s="198"/>
      <c r="Z81" s="198"/>
    </row>
    <row r="82">
      <c r="B82" s="38"/>
      <c r="C82" s="38"/>
      <c r="D82" s="38"/>
      <c r="E82" s="49"/>
      <c r="F82" s="38"/>
      <c r="G82" s="38"/>
      <c r="H82" s="38"/>
      <c r="I82" s="50"/>
      <c r="K82" s="49"/>
      <c r="L82" s="201"/>
      <c r="M82" s="201"/>
      <c r="N82" s="201"/>
      <c r="O82" s="201"/>
      <c r="P82" s="201"/>
      <c r="Q82" s="201"/>
      <c r="R82" s="201"/>
      <c r="S82" s="201"/>
      <c r="T82" s="201"/>
      <c r="U82" s="201"/>
      <c r="V82" s="201"/>
      <c r="W82" s="201"/>
      <c r="X82" s="201"/>
      <c r="Y82" s="198"/>
      <c r="Z82" s="198"/>
    </row>
    <row r="83">
      <c r="B83" s="38"/>
      <c r="C83" s="38"/>
      <c r="D83" s="38"/>
      <c r="E83" s="49"/>
      <c r="F83" s="38" t="s">
        <v>42</v>
      </c>
      <c r="G83" s="38" t="s">
        <v>219</v>
      </c>
      <c r="H83" s="38" t="s">
        <v>220</v>
      </c>
      <c r="I83" s="38" t="s">
        <v>221</v>
      </c>
      <c r="J83" s="203" t="s">
        <v>222</v>
      </c>
      <c r="K83" s="59" t="s">
        <v>223</v>
      </c>
      <c r="L83" s="201" t="s">
        <v>224</v>
      </c>
      <c r="Y83" s="198"/>
      <c r="Z83" s="198"/>
    </row>
    <row r="84">
      <c r="B84" s="38"/>
      <c r="C84" s="38"/>
      <c r="D84" s="38"/>
      <c r="E84" s="49"/>
      <c r="F84" s="38"/>
      <c r="G84" s="38"/>
      <c r="H84" s="38"/>
      <c r="I84" s="50"/>
      <c r="K84" s="49"/>
      <c r="L84" s="201"/>
      <c r="M84" s="201"/>
      <c r="N84" s="201"/>
      <c r="O84" s="201"/>
      <c r="P84" s="201"/>
      <c r="Q84" s="201"/>
      <c r="R84" s="201"/>
      <c r="S84" s="201"/>
      <c r="T84" s="201"/>
      <c r="U84" s="201"/>
      <c r="V84" s="201"/>
      <c r="W84" s="201"/>
      <c r="X84" s="201"/>
      <c r="Y84" s="198"/>
      <c r="Z84" s="198"/>
    </row>
  </sheetData>
  <mergeCells count="81">
    <mergeCell ref="L49:X49"/>
    <mergeCell ref="L50:R50"/>
    <mergeCell ref="L51:X51"/>
    <mergeCell ref="Y51:Z51"/>
    <mergeCell ref="L52:R52"/>
    <mergeCell ref="L53:X53"/>
    <mergeCell ref="Y53:Z53"/>
    <mergeCell ref="L54:P54"/>
    <mergeCell ref="Q54:R54"/>
    <mergeCell ref="L55:X55"/>
    <mergeCell ref="Y55:Z55"/>
    <mergeCell ref="L56:R56"/>
    <mergeCell ref="L57:X57"/>
    <mergeCell ref="Y57:Z57"/>
    <mergeCell ref="L68:P68"/>
    <mergeCell ref="L69:P69"/>
    <mergeCell ref="Q69:R69"/>
    <mergeCell ref="L63:P63"/>
    <mergeCell ref="Q63:R63"/>
    <mergeCell ref="L64:R64"/>
    <mergeCell ref="L65:P65"/>
    <mergeCell ref="Q65:R65"/>
    <mergeCell ref="L66:P66"/>
    <mergeCell ref="L67:R67"/>
    <mergeCell ref="L81:X81"/>
    <mergeCell ref="L83:X83"/>
    <mergeCell ref="L70:P70"/>
    <mergeCell ref="L71:X71"/>
    <mergeCell ref="L72:P72"/>
    <mergeCell ref="L73:X73"/>
    <mergeCell ref="L75:X75"/>
    <mergeCell ref="L77:X77"/>
    <mergeCell ref="L79:X79"/>
    <mergeCell ref="A7:A12"/>
    <mergeCell ref="A18:A30"/>
    <mergeCell ref="B43:D73"/>
    <mergeCell ref="B1:M1"/>
    <mergeCell ref="F4:I4"/>
    <mergeCell ref="B7:D7"/>
    <mergeCell ref="C8:H8"/>
    <mergeCell ref="D9:I9"/>
    <mergeCell ref="E10:M10"/>
    <mergeCell ref="A13:N14"/>
    <mergeCell ref="F11:H11"/>
    <mergeCell ref="J12:L12"/>
    <mergeCell ref="B15:R15"/>
    <mergeCell ref="A16:N17"/>
    <mergeCell ref="I18:N18"/>
    <mergeCell ref="I20:O20"/>
    <mergeCell ref="I22:O22"/>
    <mergeCell ref="I24:P24"/>
    <mergeCell ref="I26:M26"/>
    <mergeCell ref="I28:P28"/>
    <mergeCell ref="K30:Z30"/>
    <mergeCell ref="K31:Z31"/>
    <mergeCell ref="K32:Z32"/>
    <mergeCell ref="L36:O36"/>
    <mergeCell ref="L45:X45"/>
    <mergeCell ref="Y45:Z45"/>
    <mergeCell ref="L46:P46"/>
    <mergeCell ref="L47:X47"/>
    <mergeCell ref="Y47:Z47"/>
    <mergeCell ref="L48:R48"/>
    <mergeCell ref="Y49:Z49"/>
    <mergeCell ref="L58:R58"/>
    <mergeCell ref="L59:X59"/>
    <mergeCell ref="Y59:Z59"/>
    <mergeCell ref="L60:R60"/>
    <mergeCell ref="L61:X61"/>
    <mergeCell ref="Y61:Z61"/>
    <mergeCell ref="L62:R62"/>
    <mergeCell ref="L41:X41"/>
    <mergeCell ref="Y41:Z41"/>
    <mergeCell ref="P37:S37"/>
    <mergeCell ref="Q38:T38"/>
    <mergeCell ref="U39:W39"/>
    <mergeCell ref="V40:X40"/>
    <mergeCell ref="L43:X43"/>
    <mergeCell ref="Y43:Z43"/>
    <mergeCell ref="L44:R44"/>
    <mergeCell ref="L42:R4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0.0"/>
    <col customWidth="1" min="2" max="2" width="9.25"/>
    <col customWidth="1" min="3" max="3" width="1.88"/>
    <col customWidth="1" min="4" max="4" width="8.0"/>
    <col customWidth="1" min="5" max="5" width="1.88"/>
    <col customWidth="1" min="6" max="6" width="16.13"/>
    <col customWidth="1" min="7" max="7" width="40.63"/>
    <col customWidth="1" min="8" max="8" width="92.63"/>
    <col customWidth="1" min="9" max="20" width="15.13"/>
  </cols>
  <sheetData>
    <row r="1">
      <c r="A1" s="4"/>
      <c r="B1" s="204"/>
      <c r="C1" s="204"/>
      <c r="D1" s="204"/>
      <c r="E1" s="204"/>
      <c r="F1" s="4"/>
      <c r="G1" s="4"/>
      <c r="H1" s="4"/>
    </row>
    <row r="2">
      <c r="A2" s="205" t="s">
        <v>225</v>
      </c>
      <c r="B2" s="205" t="s">
        <v>226</v>
      </c>
      <c r="C2" s="206"/>
      <c r="D2" s="205" t="s">
        <v>227</v>
      </c>
      <c r="E2" s="206"/>
      <c r="F2" s="205" t="s">
        <v>228</v>
      </c>
      <c r="G2" s="205" t="s">
        <v>229</v>
      </c>
      <c r="H2" s="205" t="s">
        <v>230</v>
      </c>
      <c r="I2" s="207" t="s">
        <v>231</v>
      </c>
    </row>
    <row r="3">
      <c r="A3" s="170"/>
      <c r="B3" s="208"/>
      <c r="C3" s="208"/>
      <c r="D3" s="208"/>
      <c r="E3" s="208"/>
      <c r="F3" s="170"/>
      <c r="G3" s="170"/>
      <c r="H3" s="170"/>
      <c r="I3" s="170"/>
    </row>
    <row r="4">
      <c r="A4" s="209" t="s">
        <v>232</v>
      </c>
      <c r="B4" s="210" t="s">
        <v>233</v>
      </c>
      <c r="C4" s="210" t="s">
        <v>234</v>
      </c>
      <c r="D4" s="210" t="s">
        <v>235</v>
      </c>
      <c r="E4" s="210" t="s">
        <v>234</v>
      </c>
      <c r="F4" s="211" t="s">
        <v>236</v>
      </c>
      <c r="G4" s="212" t="s">
        <v>237</v>
      </c>
      <c r="H4" s="212" t="s">
        <v>238</v>
      </c>
      <c r="I4" s="212" t="s">
        <v>239</v>
      </c>
    </row>
    <row r="5">
      <c r="A5" s="213"/>
      <c r="B5" s="208"/>
      <c r="C5" s="208"/>
      <c r="D5" s="208"/>
      <c r="E5" s="208"/>
      <c r="F5" s="170"/>
      <c r="G5" s="170"/>
      <c r="H5" s="170"/>
      <c r="I5" s="170"/>
    </row>
    <row r="6">
      <c r="A6" s="209" t="s">
        <v>240</v>
      </c>
      <c r="B6" s="210" t="s">
        <v>233</v>
      </c>
      <c r="C6" s="210" t="s">
        <v>234</v>
      </c>
      <c r="D6" s="210" t="s">
        <v>241</v>
      </c>
      <c r="E6" s="210" t="s">
        <v>234</v>
      </c>
      <c r="F6" s="211" t="s">
        <v>236</v>
      </c>
      <c r="G6" s="212" t="s">
        <v>242</v>
      </c>
      <c r="H6" s="212" t="s">
        <v>238</v>
      </c>
      <c r="I6" s="214" t="s">
        <v>239</v>
      </c>
    </row>
    <row r="7">
      <c r="A7" s="213"/>
      <c r="B7" s="208"/>
      <c r="C7" s="208"/>
      <c r="D7" s="208"/>
      <c r="E7" s="208"/>
      <c r="F7" s="170"/>
      <c r="G7" s="170"/>
      <c r="H7" s="170"/>
      <c r="I7" s="170"/>
    </row>
    <row r="8">
      <c r="A8" s="209" t="s">
        <v>243</v>
      </c>
      <c r="B8" s="210" t="s">
        <v>233</v>
      </c>
      <c r="C8" s="210" t="s">
        <v>234</v>
      </c>
      <c r="D8" s="210" t="s">
        <v>244</v>
      </c>
      <c r="E8" s="210" t="s">
        <v>234</v>
      </c>
      <c r="F8" s="211" t="s">
        <v>236</v>
      </c>
      <c r="G8" s="212" t="s">
        <v>245</v>
      </c>
      <c r="H8" s="212" t="s">
        <v>238</v>
      </c>
      <c r="I8" s="214" t="s">
        <v>246</v>
      </c>
    </row>
    <row r="9">
      <c r="A9" s="213"/>
      <c r="B9" s="208"/>
      <c r="C9" s="208"/>
      <c r="D9" s="208"/>
      <c r="E9" s="208"/>
      <c r="F9" s="170"/>
      <c r="G9" s="170"/>
      <c r="H9" s="170"/>
      <c r="I9" s="170"/>
    </row>
    <row r="10">
      <c r="A10" s="209" t="s">
        <v>247</v>
      </c>
      <c r="B10" s="210" t="s">
        <v>233</v>
      </c>
      <c r="C10" s="210" t="s">
        <v>234</v>
      </c>
      <c r="D10" s="210" t="s">
        <v>248</v>
      </c>
      <c r="E10" s="210" t="s">
        <v>234</v>
      </c>
      <c r="F10" s="211" t="s">
        <v>249</v>
      </c>
      <c r="G10" s="212" t="s">
        <v>250</v>
      </c>
      <c r="H10" s="212" t="s">
        <v>251</v>
      </c>
      <c r="I10" s="212" t="s">
        <v>252</v>
      </c>
    </row>
    <row r="11">
      <c r="A11" s="213"/>
      <c r="B11" s="208"/>
      <c r="C11" s="208"/>
      <c r="D11" s="208"/>
      <c r="E11" s="208"/>
      <c r="F11" s="170"/>
      <c r="G11" s="170"/>
      <c r="H11" s="170"/>
      <c r="I11" s="170"/>
    </row>
    <row r="12">
      <c r="A12" s="209" t="s">
        <v>253</v>
      </c>
      <c r="B12" s="210" t="s">
        <v>233</v>
      </c>
      <c r="C12" s="210" t="s">
        <v>234</v>
      </c>
      <c r="D12" s="210" t="s">
        <v>254</v>
      </c>
      <c r="E12" s="210" t="s">
        <v>234</v>
      </c>
      <c r="F12" s="211" t="s">
        <v>255</v>
      </c>
      <c r="G12" s="212" t="s">
        <v>256</v>
      </c>
      <c r="H12" s="212" t="s">
        <v>257</v>
      </c>
      <c r="I12" s="212" t="s">
        <v>252</v>
      </c>
    </row>
    <row r="13">
      <c r="A13" s="213"/>
      <c r="B13" s="208"/>
      <c r="C13" s="208"/>
      <c r="D13" s="208"/>
      <c r="E13" s="208"/>
      <c r="F13" s="170"/>
      <c r="G13" s="170"/>
      <c r="H13" s="170"/>
      <c r="I13" s="170"/>
    </row>
    <row r="14">
      <c r="A14" s="209" t="s">
        <v>247</v>
      </c>
      <c r="B14" s="210" t="s">
        <v>233</v>
      </c>
      <c r="C14" s="210" t="s">
        <v>234</v>
      </c>
      <c r="D14" s="210" t="s">
        <v>258</v>
      </c>
      <c r="E14" s="210" t="s">
        <v>234</v>
      </c>
      <c r="F14" s="211" t="s">
        <v>259</v>
      </c>
      <c r="G14" s="2" t="s">
        <v>260</v>
      </c>
      <c r="H14" s="2" t="s">
        <v>261</v>
      </c>
      <c r="I14" s="215" t="s">
        <v>262</v>
      </c>
    </row>
    <row r="15">
      <c r="A15" s="213"/>
      <c r="B15" s="208"/>
      <c r="C15" s="208"/>
      <c r="D15" s="208"/>
      <c r="E15" s="208"/>
      <c r="F15" s="170"/>
      <c r="G15" s="170"/>
      <c r="H15" s="170"/>
      <c r="I15" s="170"/>
    </row>
    <row r="16">
      <c r="A16" s="216" t="s">
        <v>263</v>
      </c>
      <c r="B16" s="210" t="s">
        <v>233</v>
      </c>
      <c r="C16" s="210" t="s">
        <v>234</v>
      </c>
      <c r="D16" s="210" t="s">
        <v>258</v>
      </c>
      <c r="E16" s="210" t="s">
        <v>234</v>
      </c>
      <c r="F16" s="211" t="s">
        <v>264</v>
      </c>
      <c r="G16" s="212" t="s">
        <v>265</v>
      </c>
      <c r="H16" s="170"/>
      <c r="I16" s="215" t="s">
        <v>262</v>
      </c>
    </row>
    <row r="17">
      <c r="A17" s="170"/>
      <c r="B17" s="170"/>
      <c r="C17" s="170"/>
      <c r="D17" s="170"/>
      <c r="E17" s="170"/>
      <c r="F17" s="170"/>
      <c r="G17" s="170"/>
      <c r="H17" s="170"/>
      <c r="I17" s="170"/>
    </row>
    <row r="18">
      <c r="A18" s="216" t="s">
        <v>266</v>
      </c>
      <c r="B18" s="210" t="s">
        <v>233</v>
      </c>
      <c r="C18" s="210" t="s">
        <v>234</v>
      </c>
      <c r="D18" s="210" t="s">
        <v>258</v>
      </c>
      <c r="E18" s="210" t="s">
        <v>234</v>
      </c>
      <c r="F18" s="211" t="s">
        <v>264</v>
      </c>
      <c r="G18" s="212" t="s">
        <v>267</v>
      </c>
      <c r="H18" s="170"/>
      <c r="I18" s="215" t="s">
        <v>262</v>
      </c>
    </row>
    <row r="19">
      <c r="A19" s="170"/>
      <c r="B19" s="170"/>
      <c r="C19" s="170"/>
      <c r="D19" s="170"/>
      <c r="E19" s="170"/>
      <c r="F19" s="170"/>
      <c r="G19" s="170"/>
      <c r="H19" s="170"/>
      <c r="I19" s="170"/>
    </row>
    <row r="20">
      <c r="A20" s="216" t="s">
        <v>268</v>
      </c>
      <c r="B20" s="210" t="s">
        <v>233</v>
      </c>
      <c r="C20" s="210" t="s">
        <v>234</v>
      </c>
      <c r="D20" s="210" t="s">
        <v>258</v>
      </c>
      <c r="E20" s="210" t="s">
        <v>234</v>
      </c>
      <c r="F20" s="211" t="s">
        <v>264</v>
      </c>
      <c r="G20" s="212" t="s">
        <v>269</v>
      </c>
      <c r="H20" s="170"/>
      <c r="I20" s="214" t="s">
        <v>239</v>
      </c>
    </row>
    <row r="21">
      <c r="A21" s="170"/>
      <c r="B21" s="170"/>
      <c r="C21" s="170"/>
      <c r="D21" s="170"/>
      <c r="E21" s="170"/>
      <c r="F21" s="170"/>
      <c r="G21" s="170"/>
      <c r="H21" s="170"/>
      <c r="I21" s="170"/>
    </row>
    <row r="22">
      <c r="A22" s="209" t="s">
        <v>270</v>
      </c>
      <c r="B22" s="210" t="s">
        <v>233</v>
      </c>
      <c r="C22" s="210" t="s">
        <v>234</v>
      </c>
      <c r="D22" s="210" t="s">
        <v>258</v>
      </c>
      <c r="E22" s="210" t="s">
        <v>234</v>
      </c>
      <c r="F22" s="211" t="s">
        <v>264</v>
      </c>
      <c r="G22" s="212" t="s">
        <v>271</v>
      </c>
      <c r="H22" s="170"/>
      <c r="I22" s="214" t="s">
        <v>239</v>
      </c>
    </row>
    <row r="23">
      <c r="A23" s="213"/>
      <c r="B23" s="208"/>
      <c r="C23" s="208"/>
      <c r="D23" s="208"/>
      <c r="E23" s="208"/>
      <c r="F23" s="170"/>
      <c r="G23" s="170"/>
      <c r="H23" s="170"/>
      <c r="I23" s="170"/>
    </row>
    <row r="24" ht="14.25" customHeight="1">
      <c r="A24" s="209" t="s">
        <v>272</v>
      </c>
      <c r="B24" s="210" t="s">
        <v>233</v>
      </c>
      <c r="C24" s="210" t="s">
        <v>234</v>
      </c>
      <c r="D24" s="210" t="s">
        <v>258</v>
      </c>
      <c r="E24" s="210" t="s">
        <v>234</v>
      </c>
      <c r="F24" s="211" t="s">
        <v>264</v>
      </c>
      <c r="G24" s="212" t="s">
        <v>273</v>
      </c>
      <c r="H24" s="170"/>
      <c r="I24" s="214" t="s">
        <v>239</v>
      </c>
    </row>
    <row r="25" ht="17.25" customHeight="1">
      <c r="A25" s="213"/>
      <c r="B25" s="208"/>
      <c r="C25" s="208"/>
      <c r="D25" s="208"/>
      <c r="E25" s="208"/>
      <c r="F25" s="170"/>
      <c r="G25" s="170"/>
      <c r="H25" s="170"/>
      <c r="I25" s="170"/>
    </row>
    <row r="26">
      <c r="A26" s="209" t="s">
        <v>274</v>
      </c>
      <c r="B26" s="210" t="s">
        <v>233</v>
      </c>
      <c r="C26" s="210" t="s">
        <v>234</v>
      </c>
      <c r="D26" s="210" t="s">
        <v>258</v>
      </c>
      <c r="E26" s="210" t="s">
        <v>234</v>
      </c>
      <c r="F26" s="211" t="s">
        <v>264</v>
      </c>
      <c r="G26" s="212" t="s">
        <v>275</v>
      </c>
      <c r="H26" s="170"/>
      <c r="I26" s="214" t="s">
        <v>239</v>
      </c>
    </row>
    <row r="27" ht="17.25" customHeight="1">
      <c r="A27" s="213"/>
      <c r="B27" s="208"/>
      <c r="C27" s="208"/>
      <c r="D27" s="208"/>
      <c r="E27" s="208"/>
      <c r="F27" s="170"/>
      <c r="G27" s="170"/>
      <c r="H27" s="170"/>
      <c r="I27" s="170"/>
    </row>
    <row r="28" ht="17.25" customHeight="1">
      <c r="A28" s="209" t="s">
        <v>276</v>
      </c>
      <c r="B28" s="210" t="s">
        <v>233</v>
      </c>
      <c r="C28" s="210" t="s">
        <v>234</v>
      </c>
      <c r="D28" s="210" t="s">
        <v>258</v>
      </c>
      <c r="E28" s="210" t="s">
        <v>234</v>
      </c>
      <c r="F28" s="211" t="s">
        <v>264</v>
      </c>
      <c r="G28" s="212" t="s">
        <v>277</v>
      </c>
      <c r="H28" s="170"/>
      <c r="I28" s="214" t="s">
        <v>239</v>
      </c>
    </row>
    <row r="29">
      <c r="A29" s="213"/>
      <c r="B29" s="208"/>
      <c r="C29" s="208"/>
      <c r="D29" s="208"/>
      <c r="E29" s="208"/>
      <c r="F29" s="170"/>
      <c r="G29" s="170"/>
      <c r="H29" s="170"/>
      <c r="I29" s="170"/>
    </row>
    <row r="30" ht="12.0" customHeight="1">
      <c r="A30" s="209" t="s">
        <v>278</v>
      </c>
      <c r="B30" s="210" t="s">
        <v>233</v>
      </c>
      <c r="C30" s="210" t="s">
        <v>234</v>
      </c>
      <c r="D30" s="210" t="s">
        <v>279</v>
      </c>
      <c r="E30" s="210" t="s">
        <v>234</v>
      </c>
      <c r="F30" s="211" t="s">
        <v>236</v>
      </c>
      <c r="G30" s="212" t="s">
        <v>280</v>
      </c>
      <c r="H30" s="212" t="s">
        <v>238</v>
      </c>
      <c r="I30" s="214" t="s">
        <v>246</v>
      </c>
    </row>
    <row r="31" ht="12.0" customHeight="1">
      <c r="A31" s="213"/>
      <c r="B31" s="208"/>
      <c r="C31" s="208"/>
      <c r="D31" s="208"/>
      <c r="E31" s="208"/>
      <c r="F31" s="170"/>
      <c r="G31" s="170"/>
      <c r="H31" s="170"/>
      <c r="I31" s="170"/>
    </row>
    <row r="32" ht="12.0" customHeight="1">
      <c r="A32" s="209" t="s">
        <v>281</v>
      </c>
      <c r="B32" s="210" t="s">
        <v>233</v>
      </c>
      <c r="C32" s="210" t="s">
        <v>234</v>
      </c>
      <c r="D32" s="210" t="s">
        <v>282</v>
      </c>
      <c r="E32" s="210" t="s">
        <v>234</v>
      </c>
      <c r="F32" s="211" t="s">
        <v>283</v>
      </c>
      <c r="G32" s="212" t="s">
        <v>284</v>
      </c>
      <c r="H32" s="212" t="s">
        <v>285</v>
      </c>
      <c r="I32" s="214" t="s">
        <v>239</v>
      </c>
    </row>
    <row r="33">
      <c r="A33" s="213"/>
      <c r="B33" s="208"/>
      <c r="C33" s="208"/>
      <c r="D33" s="208"/>
      <c r="E33" s="208"/>
      <c r="F33" s="170"/>
      <c r="G33" s="170"/>
      <c r="H33" s="170"/>
      <c r="I33" s="170"/>
    </row>
    <row r="34">
      <c r="A34" s="209" t="s">
        <v>286</v>
      </c>
      <c r="B34" s="217"/>
      <c r="C34" s="217"/>
      <c r="D34" s="217"/>
      <c r="E34" s="217"/>
      <c r="F34" s="218"/>
      <c r="G34" s="212"/>
      <c r="H34" s="212"/>
      <c r="I34" s="170"/>
    </row>
    <row r="35">
      <c r="A35" s="170"/>
      <c r="B35" s="208"/>
      <c r="C35" s="208"/>
      <c r="D35" s="208"/>
      <c r="E35" s="208"/>
      <c r="F35" s="170"/>
      <c r="G35" s="170"/>
      <c r="H35" s="170"/>
      <c r="I35" s="170"/>
    </row>
    <row r="36">
      <c r="A36" s="209"/>
      <c r="B36" s="217"/>
      <c r="C36" s="217"/>
      <c r="D36" s="217"/>
      <c r="E36" s="217"/>
      <c r="F36" s="218"/>
      <c r="G36" s="212"/>
      <c r="H36" s="212"/>
      <c r="I36" s="170"/>
    </row>
    <row r="37">
      <c r="A37" s="170"/>
      <c r="B37" s="208"/>
      <c r="C37" s="208"/>
      <c r="D37" s="208"/>
      <c r="E37" s="208"/>
      <c r="F37" s="170"/>
      <c r="G37" s="170"/>
      <c r="H37" s="170"/>
      <c r="I37" s="170"/>
    </row>
    <row r="38">
      <c r="A38" s="219" t="s">
        <v>287</v>
      </c>
      <c r="B38" s="220"/>
      <c r="C38" s="220"/>
      <c r="D38" s="220"/>
      <c r="E38" s="220"/>
    </row>
    <row r="39">
      <c r="B39" s="220"/>
      <c r="C39" s="220"/>
      <c r="D39" s="220"/>
      <c r="E39" s="220"/>
    </row>
    <row r="40">
      <c r="A40" s="2" t="s">
        <v>288</v>
      </c>
      <c r="B40" s="220"/>
      <c r="C40" s="220"/>
      <c r="D40" s="220"/>
      <c r="E40" s="220"/>
    </row>
    <row r="41">
      <c r="B41" s="220"/>
      <c r="C41" s="220"/>
      <c r="D41" s="220"/>
      <c r="E41" s="220"/>
    </row>
    <row r="42">
      <c r="A42" s="2" t="s">
        <v>289</v>
      </c>
    </row>
    <row r="43">
      <c r="B43" s="220"/>
      <c r="C43" s="220"/>
      <c r="D43" s="220"/>
      <c r="E43" s="220"/>
    </row>
    <row r="44">
      <c r="A44" s="2" t="s">
        <v>290</v>
      </c>
    </row>
    <row r="45">
      <c r="B45" s="220"/>
      <c r="C45" s="220"/>
      <c r="D45" s="220"/>
      <c r="E45" s="220"/>
    </row>
  </sheetData>
  <mergeCells count="2">
    <mergeCell ref="A42:F42"/>
    <mergeCell ref="A44:E4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9.38"/>
    <col customWidth="1" min="2" max="2" width="5.88"/>
    <col customWidth="1" min="3" max="7" width="5.63"/>
    <col customWidth="1" min="8" max="8" width="2.13"/>
    <col customWidth="1" min="9" max="9" width="10.88"/>
    <col customWidth="1" min="10" max="10" width="61.63"/>
    <col customWidth="1" min="11" max="11" width="82.88"/>
    <col customWidth="1" min="12" max="12" width="58.13"/>
    <col customWidth="1" min="13" max="13" width="83.13"/>
  </cols>
  <sheetData>
    <row r="1">
      <c r="A1" s="221"/>
      <c r="B1" s="222" t="s">
        <v>291</v>
      </c>
      <c r="M1" s="222"/>
    </row>
    <row r="2">
      <c r="A2" s="221"/>
      <c r="M2" s="221"/>
    </row>
    <row r="3" ht="1.5" customHeight="1">
      <c r="M3" s="221"/>
    </row>
    <row r="4">
      <c r="A4" s="223" t="s">
        <v>21</v>
      </c>
      <c r="B4" s="224"/>
      <c r="C4" s="225" t="s">
        <v>22</v>
      </c>
      <c r="D4" s="225" t="s">
        <v>23</v>
      </c>
      <c r="E4" s="225" t="s">
        <v>24</v>
      </c>
      <c r="F4" s="225" t="s">
        <v>25</v>
      </c>
      <c r="G4" s="225" t="s">
        <v>26</v>
      </c>
      <c r="H4" s="221"/>
      <c r="I4" s="226" t="s">
        <v>40</v>
      </c>
      <c r="J4" s="224"/>
      <c r="M4" s="224"/>
    </row>
    <row r="5">
      <c r="A5" s="227" t="s">
        <v>41</v>
      </c>
      <c r="B5" s="228"/>
      <c r="C5" s="229" t="s">
        <v>63</v>
      </c>
      <c r="D5" s="229" t="s">
        <v>202</v>
      </c>
      <c r="E5" s="229" t="s">
        <v>202</v>
      </c>
      <c r="F5" s="229" t="s">
        <v>202</v>
      </c>
      <c r="G5" s="229" t="s">
        <v>202</v>
      </c>
      <c r="H5" s="230"/>
      <c r="I5" s="226" t="s">
        <v>27</v>
      </c>
      <c r="M5" s="224"/>
    </row>
    <row r="6">
      <c r="A6" s="231"/>
      <c r="M6" s="231"/>
    </row>
    <row r="7" ht="1.5" customHeight="1">
      <c r="M7" s="231"/>
    </row>
    <row r="8">
      <c r="A8" s="223" t="s">
        <v>52</v>
      </c>
      <c r="B8" s="232"/>
      <c r="C8" s="233" t="s">
        <v>292</v>
      </c>
      <c r="H8" s="221"/>
      <c r="I8" s="226" t="s">
        <v>23</v>
      </c>
      <c r="J8" s="234"/>
      <c r="M8" s="234"/>
    </row>
    <row r="9">
      <c r="B9" s="232"/>
      <c r="C9" s="232"/>
      <c r="D9" s="233" t="s">
        <v>293</v>
      </c>
      <c r="H9" s="221"/>
      <c r="I9" s="226" t="s">
        <v>26</v>
      </c>
      <c r="M9" s="234"/>
    </row>
    <row r="10">
      <c r="A10" s="235"/>
      <c r="M10" s="235"/>
    </row>
    <row r="11">
      <c r="M11" s="235"/>
    </row>
    <row r="12">
      <c r="A12" s="223" t="s">
        <v>57</v>
      </c>
      <c r="B12" s="236" t="s">
        <v>294</v>
      </c>
      <c r="M12" s="236"/>
    </row>
    <row r="13">
      <c r="A13" s="237" t="s">
        <v>0</v>
      </c>
      <c r="H13" s="20"/>
      <c r="I13" s="238"/>
      <c r="J13" s="239"/>
      <c r="K13" s="239"/>
      <c r="L13" s="239"/>
      <c r="M13" s="234"/>
    </row>
    <row r="14">
      <c r="H14" s="20"/>
      <c r="I14" s="240" t="s">
        <v>295</v>
      </c>
      <c r="J14" s="6"/>
      <c r="K14" s="6"/>
      <c r="L14" s="7"/>
      <c r="M14" s="241"/>
    </row>
    <row r="15">
      <c r="H15" s="20"/>
      <c r="I15" s="242" t="s">
        <v>296</v>
      </c>
      <c r="J15" s="242" t="s">
        <v>297</v>
      </c>
      <c r="K15" s="242" t="s">
        <v>298</v>
      </c>
      <c r="L15" s="242" t="s">
        <v>299</v>
      </c>
      <c r="M15" s="223"/>
    </row>
    <row r="16" hidden="1">
      <c r="H16" s="20"/>
      <c r="I16" s="243">
        <v>0.0</v>
      </c>
      <c r="J16" s="244" t="s">
        <v>300</v>
      </c>
      <c r="K16" s="245" t="s">
        <v>300</v>
      </c>
      <c r="L16" s="246"/>
      <c r="M16" s="247"/>
    </row>
    <row r="17">
      <c r="H17" s="20"/>
      <c r="I17" s="248">
        <v>1.0</v>
      </c>
      <c r="J17" s="244" t="s">
        <v>301</v>
      </c>
      <c r="K17" s="244" t="s">
        <v>302</v>
      </c>
      <c r="L17" s="249" t="s">
        <v>303</v>
      </c>
      <c r="M17" s="250"/>
    </row>
    <row r="18">
      <c r="H18" s="20"/>
      <c r="I18" s="249">
        <v>2.0</v>
      </c>
      <c r="J18" s="251" t="s">
        <v>304</v>
      </c>
      <c r="K18" s="251" t="s">
        <v>305</v>
      </c>
      <c r="L18" s="249" t="s">
        <v>306</v>
      </c>
      <c r="M18" s="250"/>
    </row>
    <row r="19">
      <c r="H19" s="20"/>
      <c r="I19" s="248">
        <v>3.0</v>
      </c>
      <c r="J19" s="244" t="s">
        <v>307</v>
      </c>
      <c r="K19" s="244" t="s">
        <v>308</v>
      </c>
      <c r="L19" s="249" t="s">
        <v>309</v>
      </c>
      <c r="M19" s="250"/>
    </row>
    <row r="20">
      <c r="H20" s="20"/>
      <c r="I20" s="248">
        <v>4.0</v>
      </c>
      <c r="J20" s="244" t="s">
        <v>310</v>
      </c>
      <c r="K20" s="244" t="s">
        <v>311</v>
      </c>
      <c r="L20" s="249" t="s">
        <v>312</v>
      </c>
      <c r="M20" s="250"/>
    </row>
    <row r="21">
      <c r="H21" s="20"/>
      <c r="I21" s="248">
        <v>5.0</v>
      </c>
      <c r="J21" s="244" t="s">
        <v>313</v>
      </c>
      <c r="K21" s="244" t="s">
        <v>314</v>
      </c>
      <c r="L21" s="249" t="s">
        <v>315</v>
      </c>
      <c r="M21" s="250"/>
    </row>
    <row r="22">
      <c r="H22" s="20"/>
      <c r="I22" s="252">
        <v>6.0</v>
      </c>
      <c r="J22" s="244" t="s">
        <v>316</v>
      </c>
      <c r="K22" s="244" t="s">
        <v>317</v>
      </c>
      <c r="L22" s="249" t="s">
        <v>318</v>
      </c>
      <c r="M22" s="250" t="str">
        <f>GOOGLETRANSLATE(K22, DETECTLANGUAGE(k22), en)</f>
        <v>#ERROR!</v>
      </c>
    </row>
    <row r="23">
      <c r="H23" s="20"/>
      <c r="I23" s="248">
        <v>7.0</v>
      </c>
      <c r="J23" s="244" t="s">
        <v>319</v>
      </c>
      <c r="K23" s="244" t="s">
        <v>320</v>
      </c>
      <c r="L23" s="249" t="s">
        <v>321</v>
      </c>
      <c r="M23" s="250"/>
    </row>
    <row r="24">
      <c r="H24" s="20"/>
      <c r="I24" s="248">
        <v>8.0</v>
      </c>
      <c r="J24" s="244" t="s">
        <v>322</v>
      </c>
      <c r="K24" s="244" t="s">
        <v>323</v>
      </c>
      <c r="L24" s="249" t="s">
        <v>324</v>
      </c>
      <c r="M24" s="250"/>
    </row>
    <row r="25">
      <c r="H25" s="20"/>
      <c r="I25" s="248">
        <v>9.0</v>
      </c>
      <c r="J25" s="244" t="s">
        <v>325</v>
      </c>
      <c r="K25" s="244" t="s">
        <v>326</v>
      </c>
      <c r="L25" s="249" t="s">
        <v>327</v>
      </c>
      <c r="M25" s="250"/>
    </row>
    <row r="26">
      <c r="H26" s="20"/>
      <c r="I26" s="245">
        <v>10.0</v>
      </c>
      <c r="J26" s="253" t="s">
        <v>328</v>
      </c>
      <c r="K26" s="253" t="s">
        <v>329</v>
      </c>
      <c r="L26" s="246"/>
      <c r="M26" s="247"/>
    </row>
    <row r="27">
      <c r="H27" s="20"/>
      <c r="I27" s="245">
        <v>11.0</v>
      </c>
      <c r="J27" s="253" t="s">
        <v>330</v>
      </c>
      <c r="K27" s="253" t="s">
        <v>331</v>
      </c>
      <c r="L27" s="246"/>
      <c r="M27" s="247"/>
    </row>
    <row r="28">
      <c r="H28" s="20"/>
      <c r="I28" s="245">
        <v>12.0</v>
      </c>
      <c r="J28" s="253" t="s">
        <v>332</v>
      </c>
      <c r="K28" s="253" t="s">
        <v>333</v>
      </c>
      <c r="L28" s="246"/>
      <c r="M28" s="247"/>
    </row>
    <row r="29">
      <c r="H29" s="20"/>
      <c r="I29" s="245">
        <v>13.0</v>
      </c>
      <c r="J29" s="253" t="s">
        <v>334</v>
      </c>
      <c r="K29" s="253" t="s">
        <v>335</v>
      </c>
      <c r="L29" s="246"/>
      <c r="M29" s="247"/>
    </row>
    <row r="30">
      <c r="H30" s="20"/>
      <c r="I30" s="245">
        <v>14.0</v>
      </c>
      <c r="J30" s="253" t="s">
        <v>336</v>
      </c>
      <c r="K30" s="253" t="s">
        <v>337</v>
      </c>
      <c r="L30" s="246"/>
      <c r="M30" s="247"/>
    </row>
    <row r="31">
      <c r="H31" s="20"/>
      <c r="I31" s="245">
        <v>15.0</v>
      </c>
      <c r="J31" s="253" t="s">
        <v>338</v>
      </c>
      <c r="K31" s="253" t="s">
        <v>339</v>
      </c>
      <c r="L31" s="246"/>
      <c r="M31" s="247"/>
    </row>
    <row r="32">
      <c r="H32" s="20"/>
      <c r="I32" s="245">
        <v>16.0</v>
      </c>
      <c r="J32" s="253" t="s">
        <v>340</v>
      </c>
      <c r="K32" s="253" t="s">
        <v>341</v>
      </c>
      <c r="L32" s="246"/>
      <c r="M32" s="247"/>
    </row>
    <row r="33">
      <c r="H33" s="20"/>
      <c r="I33" s="245">
        <v>17.0</v>
      </c>
      <c r="J33" s="253" t="s">
        <v>342</v>
      </c>
      <c r="K33" s="253" t="s">
        <v>343</v>
      </c>
      <c r="L33" s="246"/>
      <c r="M33" s="247"/>
    </row>
    <row r="34">
      <c r="H34" s="20"/>
      <c r="I34" s="245">
        <v>18.0</v>
      </c>
      <c r="J34" s="244" t="s">
        <v>300</v>
      </c>
      <c r="K34" s="244" t="s">
        <v>300</v>
      </c>
      <c r="L34" s="246"/>
      <c r="M34" s="247"/>
    </row>
    <row r="35">
      <c r="H35" s="20"/>
      <c r="I35" s="245">
        <v>19.0</v>
      </c>
      <c r="J35" s="244" t="s">
        <v>300</v>
      </c>
      <c r="K35" s="244" t="s">
        <v>300</v>
      </c>
      <c r="L35" s="246"/>
      <c r="M35" s="247"/>
    </row>
    <row r="36">
      <c r="H36" s="20"/>
      <c r="I36" s="245">
        <v>20.0</v>
      </c>
      <c r="J36" s="253" t="s">
        <v>344</v>
      </c>
      <c r="K36" s="253" t="s">
        <v>345</v>
      </c>
      <c r="L36" s="246"/>
      <c r="M36" s="247"/>
    </row>
    <row r="37">
      <c r="H37" s="20"/>
      <c r="I37" s="245">
        <v>21.0</v>
      </c>
      <c r="J37" s="253" t="s">
        <v>346</v>
      </c>
      <c r="K37" s="253" t="s">
        <v>347</v>
      </c>
      <c r="L37" s="246"/>
      <c r="M37" s="247"/>
    </row>
    <row r="38">
      <c r="H38" s="20"/>
      <c r="I38" s="245">
        <v>22.0</v>
      </c>
      <c r="J38" s="253" t="s">
        <v>348</v>
      </c>
      <c r="K38" s="253" t="s">
        <v>349</v>
      </c>
      <c r="L38" s="246"/>
      <c r="M38" s="247"/>
    </row>
    <row r="39">
      <c r="H39" s="20"/>
      <c r="I39" s="245">
        <v>23.0</v>
      </c>
      <c r="J39" s="253" t="s">
        <v>350</v>
      </c>
      <c r="K39" s="253" t="s">
        <v>351</v>
      </c>
      <c r="L39" s="246"/>
      <c r="M39" s="247"/>
    </row>
    <row r="40">
      <c r="H40" s="20"/>
      <c r="I40" s="245">
        <v>24.0</v>
      </c>
      <c r="J40" s="253" t="s">
        <v>352</v>
      </c>
      <c r="K40" s="253" t="s">
        <v>353</v>
      </c>
      <c r="L40" s="246"/>
      <c r="M40" s="247"/>
    </row>
    <row r="41">
      <c r="H41" s="20"/>
      <c r="I41" s="245">
        <v>25.0</v>
      </c>
      <c r="J41" s="253" t="s">
        <v>354</v>
      </c>
      <c r="K41" s="253" t="s">
        <v>355</v>
      </c>
      <c r="L41" s="246"/>
      <c r="M41" s="247"/>
    </row>
    <row r="42">
      <c r="H42" s="20"/>
      <c r="I42" s="245">
        <v>26.0</v>
      </c>
      <c r="J42" s="253" t="s">
        <v>356</v>
      </c>
      <c r="K42" s="253" t="s">
        <v>357</v>
      </c>
      <c r="L42" s="246"/>
      <c r="M42" s="247"/>
    </row>
    <row r="43">
      <c r="H43" s="20"/>
      <c r="I43" s="245">
        <v>27.0</v>
      </c>
      <c r="J43" s="253" t="s">
        <v>358</v>
      </c>
      <c r="K43" s="253" t="s">
        <v>359</v>
      </c>
      <c r="L43" s="246"/>
      <c r="M43" s="247"/>
    </row>
    <row r="44">
      <c r="H44" s="20"/>
      <c r="I44" s="245">
        <v>28.0</v>
      </c>
      <c r="J44" s="244" t="s">
        <v>300</v>
      </c>
      <c r="K44" s="244" t="s">
        <v>300</v>
      </c>
      <c r="L44" s="246"/>
      <c r="M44" s="247"/>
    </row>
    <row r="45">
      <c r="H45" s="20"/>
      <c r="I45" s="245">
        <v>29.0</v>
      </c>
      <c r="J45" s="244" t="s">
        <v>300</v>
      </c>
      <c r="K45" s="244" t="s">
        <v>300</v>
      </c>
      <c r="L45" s="246"/>
      <c r="M45" s="247"/>
    </row>
    <row r="46">
      <c r="H46" s="20"/>
      <c r="I46" s="245">
        <v>30.0</v>
      </c>
      <c r="J46" s="253" t="s">
        <v>360</v>
      </c>
      <c r="K46" s="253" t="s">
        <v>361</v>
      </c>
      <c r="L46" s="254"/>
      <c r="M46" s="221"/>
    </row>
    <row r="47">
      <c r="H47" s="20"/>
      <c r="I47" s="245">
        <v>31.0</v>
      </c>
      <c r="J47" s="253" t="s">
        <v>362</v>
      </c>
      <c r="K47" s="253" t="s">
        <v>363</v>
      </c>
      <c r="L47" s="246"/>
      <c r="M47" s="247"/>
    </row>
    <row r="48">
      <c r="H48" s="20"/>
      <c r="I48" s="245">
        <v>32.0</v>
      </c>
      <c r="J48" s="253" t="s">
        <v>364</v>
      </c>
      <c r="K48" s="253" t="s">
        <v>365</v>
      </c>
      <c r="L48" s="246"/>
      <c r="M48" s="247"/>
    </row>
    <row r="49">
      <c r="H49" s="20"/>
      <c r="I49" s="245">
        <v>33.0</v>
      </c>
      <c r="J49" s="253" t="s">
        <v>366</v>
      </c>
      <c r="K49" s="253" t="s">
        <v>367</v>
      </c>
      <c r="L49" s="246"/>
      <c r="M49" s="247"/>
    </row>
    <row r="50">
      <c r="H50" s="20"/>
      <c r="I50" s="245">
        <v>34.0</v>
      </c>
      <c r="J50" s="253" t="s">
        <v>368</v>
      </c>
      <c r="K50" s="253" t="s">
        <v>369</v>
      </c>
      <c r="L50" s="246"/>
      <c r="M50" s="247"/>
    </row>
    <row r="51">
      <c r="H51" s="20"/>
      <c r="I51" s="245">
        <v>35.0</v>
      </c>
      <c r="J51" s="253" t="s">
        <v>370</v>
      </c>
      <c r="K51" s="253" t="s">
        <v>371</v>
      </c>
      <c r="L51" s="246"/>
      <c r="M51" s="247"/>
    </row>
    <row r="52">
      <c r="H52" s="20"/>
      <c r="I52" s="245">
        <v>36.0</v>
      </c>
      <c r="J52" s="253" t="s">
        <v>372</v>
      </c>
      <c r="K52" s="253" t="s">
        <v>373</v>
      </c>
      <c r="L52" s="246"/>
      <c r="M52" s="247"/>
    </row>
    <row r="53">
      <c r="H53" s="20"/>
      <c r="I53" s="245">
        <v>37.0</v>
      </c>
      <c r="J53" s="253" t="s">
        <v>374</v>
      </c>
      <c r="K53" s="253" t="s">
        <v>375</v>
      </c>
      <c r="L53" s="246"/>
      <c r="M53" s="247"/>
    </row>
    <row r="54">
      <c r="H54" s="20"/>
      <c r="I54" s="245">
        <v>38.0</v>
      </c>
      <c r="J54" s="244" t="s">
        <v>300</v>
      </c>
      <c r="K54" s="244" t="s">
        <v>300</v>
      </c>
      <c r="L54" s="246"/>
      <c r="M54" s="247"/>
    </row>
    <row r="55">
      <c r="H55" s="20"/>
      <c r="I55" s="245">
        <v>39.0</v>
      </c>
      <c r="J55" s="244" t="s">
        <v>300</v>
      </c>
      <c r="K55" s="244" t="s">
        <v>300</v>
      </c>
      <c r="L55" s="246"/>
      <c r="M55" s="247"/>
    </row>
    <row r="56">
      <c r="H56" s="20"/>
      <c r="I56" s="245">
        <v>40.0</v>
      </c>
      <c r="J56" s="253" t="s">
        <v>376</v>
      </c>
      <c r="K56" s="253" t="s">
        <v>377</v>
      </c>
      <c r="L56" s="255" t="s">
        <v>378</v>
      </c>
      <c r="M56" s="256"/>
    </row>
    <row r="57">
      <c r="H57" s="20"/>
      <c r="I57" s="245">
        <v>41.0</v>
      </c>
      <c r="J57" s="253" t="s">
        <v>379</v>
      </c>
      <c r="K57" s="253" t="s">
        <v>380</v>
      </c>
      <c r="L57" s="15"/>
      <c r="M57" s="256"/>
    </row>
    <row r="58">
      <c r="H58" s="20"/>
      <c r="I58" s="245">
        <v>42.0</v>
      </c>
      <c r="J58" s="253" t="s">
        <v>381</v>
      </c>
      <c r="K58" s="253" t="s">
        <v>382</v>
      </c>
      <c r="L58" s="15"/>
      <c r="M58" s="256"/>
    </row>
    <row r="59">
      <c r="H59" s="20"/>
      <c r="I59" s="245">
        <v>43.0</v>
      </c>
      <c r="J59" s="253" t="s">
        <v>383</v>
      </c>
      <c r="K59" s="253" t="s">
        <v>384</v>
      </c>
      <c r="L59" s="15"/>
      <c r="M59" s="256"/>
    </row>
    <row r="60">
      <c r="H60" s="20"/>
      <c r="I60" s="245">
        <v>44.0</v>
      </c>
      <c r="J60" s="253" t="s">
        <v>385</v>
      </c>
      <c r="K60" s="253" t="s">
        <v>386</v>
      </c>
      <c r="L60" s="15"/>
      <c r="M60" s="256"/>
    </row>
    <row r="61">
      <c r="H61" s="20"/>
      <c r="I61" s="245">
        <v>45.0</v>
      </c>
      <c r="J61" s="253" t="s">
        <v>387</v>
      </c>
      <c r="K61" s="253" t="s">
        <v>388</v>
      </c>
      <c r="L61" s="15"/>
      <c r="M61" s="256"/>
    </row>
    <row r="62">
      <c r="H62" s="20"/>
      <c r="I62" s="245">
        <v>46.0</v>
      </c>
      <c r="J62" s="253" t="s">
        <v>389</v>
      </c>
      <c r="K62" s="253" t="s">
        <v>390</v>
      </c>
      <c r="L62" s="15"/>
      <c r="M62" s="256"/>
    </row>
    <row r="63">
      <c r="H63" s="20"/>
      <c r="I63" s="245">
        <v>47.0</v>
      </c>
      <c r="J63" s="253" t="s">
        <v>391</v>
      </c>
      <c r="K63" s="253" t="s">
        <v>392</v>
      </c>
      <c r="L63" s="15"/>
      <c r="M63" s="256"/>
    </row>
    <row r="64">
      <c r="H64" s="20"/>
      <c r="I64" s="245">
        <v>48.0</v>
      </c>
      <c r="J64" s="253" t="s">
        <v>393</v>
      </c>
      <c r="K64" s="253" t="s">
        <v>394</v>
      </c>
      <c r="L64" s="15"/>
      <c r="M64" s="256"/>
    </row>
    <row r="65">
      <c r="H65" s="20"/>
      <c r="I65" s="245">
        <v>49.0</v>
      </c>
      <c r="J65" s="253" t="s">
        <v>395</v>
      </c>
      <c r="K65" s="253" t="s">
        <v>396</v>
      </c>
      <c r="L65" s="25"/>
      <c r="M65" s="256"/>
    </row>
    <row r="66">
      <c r="H66" s="20"/>
      <c r="I66" s="245">
        <v>50.0</v>
      </c>
      <c r="J66" s="244" t="s">
        <v>397</v>
      </c>
      <c r="K66" s="244" t="s">
        <v>398</v>
      </c>
      <c r="L66" s="245" t="s">
        <v>399</v>
      </c>
      <c r="M66" s="256"/>
    </row>
    <row r="67">
      <c r="H67" s="20"/>
      <c r="I67" s="245">
        <v>51.0</v>
      </c>
      <c r="J67" s="253" t="s">
        <v>400</v>
      </c>
      <c r="K67" s="257" t="s">
        <v>401</v>
      </c>
      <c r="L67" s="245" t="s">
        <v>402</v>
      </c>
      <c r="M67" s="256"/>
    </row>
    <row r="68">
      <c r="H68" s="20"/>
      <c r="I68" s="245">
        <v>52.0</v>
      </c>
      <c r="J68" s="253" t="s">
        <v>403</v>
      </c>
      <c r="K68" s="253" t="s">
        <v>404</v>
      </c>
      <c r="L68" s="245" t="s">
        <v>405</v>
      </c>
      <c r="M68" s="256"/>
    </row>
    <row r="69">
      <c r="H69" s="20"/>
      <c r="I69" s="245">
        <v>53.0</v>
      </c>
      <c r="J69" s="253" t="s">
        <v>406</v>
      </c>
      <c r="K69" s="253" t="s">
        <v>407</v>
      </c>
      <c r="L69" s="245" t="s">
        <v>408</v>
      </c>
      <c r="M69" s="256"/>
    </row>
    <row r="70">
      <c r="H70" s="20"/>
      <c r="I70" s="245">
        <v>54.0</v>
      </c>
      <c r="J70" s="253" t="s">
        <v>409</v>
      </c>
      <c r="K70" s="253" t="s">
        <v>410</v>
      </c>
      <c r="L70" s="245" t="s">
        <v>411</v>
      </c>
      <c r="M70" s="256"/>
    </row>
    <row r="71">
      <c r="H71" s="20"/>
      <c r="I71" s="245">
        <v>55.0</v>
      </c>
      <c r="J71" s="244" t="s">
        <v>412</v>
      </c>
      <c r="K71" s="244" t="s">
        <v>413</v>
      </c>
      <c r="L71" s="245" t="s">
        <v>414</v>
      </c>
      <c r="M71" s="256"/>
    </row>
    <row r="72">
      <c r="H72" s="20"/>
      <c r="I72" s="245">
        <v>56.0</v>
      </c>
      <c r="J72" s="244" t="s">
        <v>415</v>
      </c>
      <c r="K72" s="244" t="s">
        <v>413</v>
      </c>
      <c r="L72" s="245" t="s">
        <v>414</v>
      </c>
      <c r="M72" s="256"/>
    </row>
    <row r="73">
      <c r="H73" s="20"/>
      <c r="I73" s="245">
        <v>57.0</v>
      </c>
      <c r="J73" s="257" t="s">
        <v>416</v>
      </c>
      <c r="K73" s="254"/>
      <c r="L73" s="245" t="s">
        <v>417</v>
      </c>
      <c r="M73" s="256"/>
    </row>
    <row r="74">
      <c r="H74" s="20"/>
      <c r="I74" s="245">
        <v>58.0</v>
      </c>
      <c r="J74" s="244" t="s">
        <v>418</v>
      </c>
      <c r="K74" s="244" t="s">
        <v>419</v>
      </c>
      <c r="L74" s="245" t="s">
        <v>420</v>
      </c>
      <c r="M74" s="256"/>
    </row>
    <row r="75">
      <c r="H75" s="20"/>
      <c r="I75" s="245">
        <v>59.0</v>
      </c>
      <c r="J75" s="244" t="s">
        <v>421</v>
      </c>
      <c r="K75" s="254"/>
      <c r="L75" s="245" t="s">
        <v>422</v>
      </c>
      <c r="M75" s="256"/>
    </row>
    <row r="76">
      <c r="H76" s="20"/>
      <c r="I76" s="245">
        <v>60.0</v>
      </c>
      <c r="J76" s="253" t="s">
        <v>423</v>
      </c>
      <c r="K76" s="253" t="s">
        <v>424</v>
      </c>
      <c r="L76" s="245" t="s">
        <v>425</v>
      </c>
      <c r="M76" s="256"/>
    </row>
    <row r="77">
      <c r="H77" s="20"/>
      <c r="I77" s="245">
        <v>61.0</v>
      </c>
      <c r="J77" s="253" t="s">
        <v>426</v>
      </c>
      <c r="K77" s="253" t="s">
        <v>427</v>
      </c>
      <c r="L77" s="245" t="s">
        <v>428</v>
      </c>
      <c r="M77" s="256"/>
    </row>
    <row r="78">
      <c r="H78" s="20"/>
      <c r="I78" s="245">
        <v>62.0</v>
      </c>
      <c r="J78" s="253" t="s">
        <v>429</v>
      </c>
      <c r="K78" s="253" t="s">
        <v>430</v>
      </c>
      <c r="L78" s="245" t="s">
        <v>431</v>
      </c>
      <c r="M78" s="256"/>
    </row>
    <row r="79">
      <c r="H79" s="20"/>
      <c r="I79" s="245">
        <v>63.0</v>
      </c>
      <c r="J79" s="253" t="s">
        <v>432</v>
      </c>
      <c r="K79" s="253" t="s">
        <v>433</v>
      </c>
      <c r="L79" s="245" t="s">
        <v>431</v>
      </c>
      <c r="M79" s="256"/>
    </row>
    <row r="80">
      <c r="H80" s="20"/>
      <c r="I80" s="245">
        <v>64.0</v>
      </c>
      <c r="J80" s="253" t="s">
        <v>434</v>
      </c>
      <c r="K80" s="253" t="s">
        <v>435</v>
      </c>
      <c r="L80" s="245" t="s">
        <v>436</v>
      </c>
      <c r="M80" s="256"/>
    </row>
    <row r="81" ht="383.25" customHeight="1">
      <c r="H81" s="20"/>
      <c r="I81" s="245">
        <v>65.0</v>
      </c>
      <c r="J81" s="253" t="s">
        <v>437</v>
      </c>
      <c r="K81" s="257" t="s">
        <v>438</v>
      </c>
      <c r="L81" s="245" t="s">
        <v>439</v>
      </c>
      <c r="M81" s="256"/>
    </row>
    <row r="82">
      <c r="H82" s="20"/>
      <c r="I82" s="245">
        <v>66.0</v>
      </c>
      <c r="J82" s="253" t="s">
        <v>440</v>
      </c>
      <c r="K82" s="244" t="s">
        <v>441</v>
      </c>
      <c r="L82" s="245" t="s">
        <v>442</v>
      </c>
      <c r="M82" s="256"/>
    </row>
    <row r="83">
      <c r="H83" s="20"/>
      <c r="I83" s="245">
        <v>67.0</v>
      </c>
      <c r="J83" s="257" t="s">
        <v>443</v>
      </c>
      <c r="K83" s="244" t="s">
        <v>413</v>
      </c>
      <c r="L83" s="246"/>
      <c r="M83" s="247"/>
    </row>
    <row r="84">
      <c r="H84" s="20"/>
      <c r="I84" s="245">
        <v>68.0</v>
      </c>
      <c r="J84" s="257" t="s">
        <v>444</v>
      </c>
      <c r="K84" s="244" t="s">
        <v>413</v>
      </c>
      <c r="L84" s="246"/>
      <c r="M84" s="247"/>
    </row>
    <row r="85" ht="201.0" customHeight="1">
      <c r="H85" s="20"/>
      <c r="I85" s="245">
        <v>69.0</v>
      </c>
      <c r="J85" s="253" t="s">
        <v>445</v>
      </c>
      <c r="K85" s="257" t="s">
        <v>446</v>
      </c>
      <c r="L85" s="245" t="s">
        <v>447</v>
      </c>
      <c r="M85" s="256"/>
    </row>
    <row r="86">
      <c r="H86" s="20"/>
      <c r="I86" s="252">
        <v>70.0</v>
      </c>
      <c r="J86" s="253" t="s">
        <v>448</v>
      </c>
      <c r="K86" s="253" t="s">
        <v>449</v>
      </c>
      <c r="L86" s="258" t="s">
        <v>450</v>
      </c>
      <c r="M86" s="250"/>
    </row>
    <row r="87">
      <c r="H87" s="20"/>
      <c r="I87" s="252">
        <v>71.0</v>
      </c>
      <c r="J87" s="253" t="s">
        <v>451</v>
      </c>
      <c r="K87" s="253" t="s">
        <v>452</v>
      </c>
      <c r="L87" s="246"/>
      <c r="M87" s="247"/>
    </row>
    <row r="88">
      <c r="H88" s="20"/>
      <c r="I88" s="252">
        <v>72.0</v>
      </c>
      <c r="J88" s="253" t="s">
        <v>453</v>
      </c>
      <c r="K88" s="253" t="s">
        <v>452</v>
      </c>
      <c r="L88" s="246"/>
      <c r="M88" s="247"/>
    </row>
    <row r="89">
      <c r="H89" s="20"/>
      <c r="I89" s="252">
        <v>73.0</v>
      </c>
      <c r="J89" s="253" t="s">
        <v>454</v>
      </c>
      <c r="K89" s="253" t="s">
        <v>452</v>
      </c>
      <c r="L89" s="246"/>
      <c r="M89" s="247"/>
    </row>
    <row r="90">
      <c r="H90" s="20"/>
      <c r="I90" s="252">
        <v>74.0</v>
      </c>
      <c r="J90" s="253" t="s">
        <v>455</v>
      </c>
      <c r="K90" s="253" t="s">
        <v>452</v>
      </c>
      <c r="L90" s="246"/>
      <c r="M90" s="247"/>
    </row>
    <row r="91">
      <c r="H91" s="20"/>
      <c r="I91" s="252">
        <v>75.0</v>
      </c>
      <c r="J91" s="253" t="s">
        <v>456</v>
      </c>
      <c r="K91" s="253" t="s">
        <v>452</v>
      </c>
      <c r="L91" s="246"/>
      <c r="M91" s="247"/>
    </row>
    <row r="92">
      <c r="H92" s="20"/>
      <c r="I92" s="252">
        <v>76.0</v>
      </c>
      <c r="J92" s="253" t="s">
        <v>457</v>
      </c>
      <c r="K92" s="253" t="s">
        <v>452</v>
      </c>
      <c r="L92" s="246"/>
      <c r="M92" s="247"/>
    </row>
    <row r="93">
      <c r="H93" s="20"/>
      <c r="I93" s="252">
        <v>77.0</v>
      </c>
      <c r="J93" s="253" t="s">
        <v>458</v>
      </c>
      <c r="K93" s="253" t="s">
        <v>452</v>
      </c>
      <c r="L93" s="246"/>
      <c r="M93" s="247"/>
    </row>
    <row r="94">
      <c r="H94" s="20"/>
      <c r="I94" s="252">
        <v>78.0</v>
      </c>
      <c r="J94" s="253" t="s">
        <v>459</v>
      </c>
      <c r="K94" s="253" t="s">
        <v>452</v>
      </c>
      <c r="L94" s="246"/>
      <c r="M94" s="247"/>
    </row>
    <row r="95">
      <c r="H95" s="20"/>
      <c r="I95" s="252">
        <v>79.0</v>
      </c>
      <c r="J95" s="253" t="s">
        <v>460</v>
      </c>
      <c r="K95" s="253" t="s">
        <v>452</v>
      </c>
      <c r="L95" s="246"/>
      <c r="M95" s="247"/>
    </row>
    <row r="96">
      <c r="H96" s="20"/>
      <c r="I96" s="245">
        <v>80.0</v>
      </c>
      <c r="J96" s="253" t="s">
        <v>452</v>
      </c>
      <c r="K96" s="253" t="s">
        <v>461</v>
      </c>
      <c r="L96" s="245" t="s">
        <v>462</v>
      </c>
      <c r="M96" s="256"/>
    </row>
    <row r="97" hidden="1">
      <c r="H97" s="20"/>
      <c r="I97" s="245">
        <v>80.0</v>
      </c>
      <c r="J97" s="257" t="s">
        <v>463</v>
      </c>
      <c r="K97" s="257" t="s">
        <v>464</v>
      </c>
      <c r="L97" s="245" t="s">
        <v>465</v>
      </c>
      <c r="M97" s="256"/>
    </row>
    <row r="98">
      <c r="H98" s="20"/>
      <c r="I98" s="245">
        <v>81.0</v>
      </c>
      <c r="J98" s="257" t="s">
        <v>466</v>
      </c>
      <c r="K98" s="257" t="s">
        <v>464</v>
      </c>
      <c r="L98" s="245" t="s">
        <v>467</v>
      </c>
      <c r="M98" s="256"/>
    </row>
    <row r="99">
      <c r="H99" s="20"/>
      <c r="I99" s="245">
        <v>82.0</v>
      </c>
      <c r="J99" s="257" t="s">
        <v>468</v>
      </c>
      <c r="K99" s="257" t="s">
        <v>464</v>
      </c>
      <c r="L99" s="245" t="s">
        <v>469</v>
      </c>
      <c r="M99" s="256"/>
    </row>
    <row r="100">
      <c r="H100" s="20"/>
      <c r="I100" s="245">
        <v>83.0</v>
      </c>
      <c r="J100" s="253" t="s">
        <v>470</v>
      </c>
      <c r="K100" s="253" t="s">
        <v>471</v>
      </c>
      <c r="L100" s="245" t="s">
        <v>472</v>
      </c>
      <c r="M100" s="256"/>
    </row>
    <row r="101">
      <c r="H101" s="20"/>
      <c r="I101" s="245">
        <v>84.0</v>
      </c>
      <c r="J101" s="253" t="s">
        <v>473</v>
      </c>
      <c r="K101" s="253" t="s">
        <v>474</v>
      </c>
      <c r="L101" s="245" t="s">
        <v>475</v>
      </c>
      <c r="M101" s="256"/>
    </row>
    <row r="102">
      <c r="H102" s="20"/>
      <c r="I102" s="245">
        <v>85.0</v>
      </c>
      <c r="J102" s="253" t="s">
        <v>476</v>
      </c>
      <c r="K102" s="259"/>
      <c r="L102" s="245" t="s">
        <v>477</v>
      </c>
      <c r="M102" s="256"/>
    </row>
    <row r="103">
      <c r="H103" s="20"/>
      <c r="I103" s="245">
        <v>86.0</v>
      </c>
      <c r="J103" s="257" t="s">
        <v>463</v>
      </c>
      <c r="K103" s="257" t="s">
        <v>464</v>
      </c>
      <c r="L103" s="246"/>
      <c r="M103" s="256" t="s">
        <v>478</v>
      </c>
    </row>
    <row r="104">
      <c r="H104" s="20"/>
      <c r="I104" s="245">
        <v>87.0</v>
      </c>
      <c r="J104" s="257" t="s">
        <v>479</v>
      </c>
      <c r="K104" s="259"/>
      <c r="L104" s="246"/>
      <c r="M104" s="247"/>
    </row>
    <row r="105">
      <c r="H105" s="20"/>
      <c r="I105" s="245">
        <v>88.0</v>
      </c>
      <c r="J105" s="257" t="s">
        <v>479</v>
      </c>
      <c r="K105" s="259"/>
      <c r="L105" s="246"/>
      <c r="M105" s="247"/>
    </row>
    <row r="106">
      <c r="H106" s="20"/>
      <c r="I106" s="245">
        <v>89.0</v>
      </c>
      <c r="J106" s="257" t="s">
        <v>479</v>
      </c>
      <c r="K106" s="259"/>
      <c r="L106" s="246"/>
      <c r="M106" s="247"/>
    </row>
    <row r="107">
      <c r="H107" s="20"/>
      <c r="I107" s="245">
        <v>90.0</v>
      </c>
      <c r="J107" s="253" t="s">
        <v>480</v>
      </c>
      <c r="K107" s="253" t="s">
        <v>481</v>
      </c>
      <c r="L107" s="246"/>
      <c r="M107" s="247"/>
    </row>
    <row r="108" ht="61.5" customHeight="1">
      <c r="H108" s="20"/>
      <c r="I108" s="245">
        <v>91.0</v>
      </c>
      <c r="J108" s="260" t="s">
        <v>482</v>
      </c>
      <c r="K108" s="261" t="s">
        <v>483</v>
      </c>
      <c r="L108" s="262" t="s">
        <v>484</v>
      </c>
      <c r="M108" s="263"/>
    </row>
    <row r="109" ht="61.5" customHeight="1">
      <c r="H109" s="20"/>
      <c r="I109" s="245">
        <v>92.0</v>
      </c>
      <c r="J109" s="260" t="s">
        <v>482</v>
      </c>
      <c r="K109" s="261" t="s">
        <v>485</v>
      </c>
      <c r="L109" s="15"/>
      <c r="M109" s="263"/>
    </row>
    <row r="110">
      <c r="H110" s="20"/>
      <c r="I110" s="245">
        <v>93.0</v>
      </c>
      <c r="J110" s="260" t="s">
        <v>482</v>
      </c>
      <c r="K110" s="261" t="s">
        <v>486</v>
      </c>
      <c r="L110" s="25"/>
      <c r="M110" s="263"/>
    </row>
    <row r="111">
      <c r="H111" s="20"/>
      <c r="I111" s="264">
        <v>94.0</v>
      </c>
      <c r="J111" s="265" t="s">
        <v>487</v>
      </c>
      <c r="K111" s="257" t="s">
        <v>488</v>
      </c>
      <c r="L111" s="254"/>
      <c r="M111" s="247"/>
    </row>
    <row r="112">
      <c r="H112" s="20"/>
      <c r="I112" s="264">
        <v>95.0</v>
      </c>
      <c r="J112" s="265" t="s">
        <v>489</v>
      </c>
      <c r="K112" s="257" t="s">
        <v>488</v>
      </c>
      <c r="L112" s="254"/>
      <c r="M112" s="247"/>
    </row>
    <row r="113">
      <c r="H113" s="20"/>
      <c r="I113" s="264">
        <v>96.0</v>
      </c>
      <c r="J113" s="265" t="s">
        <v>490</v>
      </c>
      <c r="K113" s="257" t="s">
        <v>491</v>
      </c>
      <c r="L113" s="266" t="s">
        <v>492</v>
      </c>
      <c r="M113" s="247"/>
    </row>
    <row r="114">
      <c r="H114" s="20"/>
      <c r="I114" s="245">
        <v>97.0</v>
      </c>
      <c r="J114" s="253" t="s">
        <v>493</v>
      </c>
      <c r="K114" s="267"/>
      <c r="L114" s="246"/>
      <c r="M114" s="247"/>
    </row>
    <row r="115">
      <c r="H115" s="20"/>
      <c r="I115" s="245">
        <v>98.0</v>
      </c>
      <c r="J115" s="253" t="s">
        <v>494</v>
      </c>
      <c r="K115" s="267"/>
      <c r="L115" s="246"/>
      <c r="M115" s="247"/>
    </row>
    <row r="116">
      <c r="H116" s="20"/>
      <c r="I116" s="252">
        <v>99.0</v>
      </c>
      <c r="J116" s="253" t="s">
        <v>495</v>
      </c>
      <c r="K116" s="267" t="s">
        <v>496</v>
      </c>
      <c r="L116" s="246"/>
      <c r="M116" s="247"/>
    </row>
    <row r="117">
      <c r="H117" s="20"/>
      <c r="I117" s="249">
        <v>100.0</v>
      </c>
      <c r="J117" s="261" t="s">
        <v>497</v>
      </c>
      <c r="K117" s="261" t="s">
        <v>498</v>
      </c>
      <c r="L117" s="268"/>
      <c r="M117" s="269"/>
    </row>
    <row r="118">
      <c r="H118" s="20"/>
      <c r="I118" s="249">
        <v>101.0</v>
      </c>
      <c r="J118" s="261" t="s">
        <v>499</v>
      </c>
      <c r="K118" s="261" t="s">
        <v>500</v>
      </c>
      <c r="L118" s="268"/>
      <c r="M118" s="269"/>
    </row>
    <row r="119">
      <c r="H119" s="20"/>
      <c r="I119" s="249">
        <v>102.0</v>
      </c>
      <c r="J119" s="261" t="s">
        <v>501</v>
      </c>
      <c r="K119" s="261" t="s">
        <v>502</v>
      </c>
      <c r="L119" s="268"/>
      <c r="M119" s="269"/>
    </row>
    <row r="120">
      <c r="H120" s="20"/>
      <c r="I120" s="249">
        <v>103.0</v>
      </c>
      <c r="J120" s="261" t="s">
        <v>503</v>
      </c>
      <c r="K120" s="261" t="s">
        <v>504</v>
      </c>
      <c r="L120" s="268"/>
      <c r="M120" s="269"/>
    </row>
    <row r="121" ht="14.25" customHeight="1">
      <c r="H121" s="20"/>
      <c r="I121" s="249">
        <v>104.0</v>
      </c>
      <c r="J121" s="261" t="s">
        <v>505</v>
      </c>
      <c r="K121" s="261" t="s">
        <v>506</v>
      </c>
      <c r="L121" s="270" t="s">
        <v>507</v>
      </c>
      <c r="M121" s="271"/>
    </row>
    <row r="122" ht="79.5" customHeight="1">
      <c r="H122" s="20"/>
      <c r="I122" s="249">
        <v>105.0</v>
      </c>
      <c r="J122" s="261" t="s">
        <v>508</v>
      </c>
      <c r="K122" s="261" t="s">
        <v>509</v>
      </c>
      <c r="L122" s="25"/>
      <c r="M122" s="271"/>
    </row>
    <row r="123">
      <c r="H123" s="20"/>
      <c r="I123" s="249">
        <v>106.0</v>
      </c>
      <c r="J123" s="261" t="s">
        <v>510</v>
      </c>
      <c r="K123" s="261" t="s">
        <v>506</v>
      </c>
      <c r="L123" s="270" t="s">
        <v>511</v>
      </c>
      <c r="M123" s="271"/>
    </row>
    <row r="124">
      <c r="H124" s="20"/>
      <c r="I124" s="249">
        <v>107.0</v>
      </c>
      <c r="J124" s="261" t="s">
        <v>512</v>
      </c>
      <c r="K124" s="261" t="s">
        <v>509</v>
      </c>
      <c r="L124" s="25"/>
      <c r="M124" s="271"/>
    </row>
    <row r="125">
      <c r="H125" s="20"/>
      <c r="I125" s="245">
        <v>108.0</v>
      </c>
      <c r="J125" s="257" t="s">
        <v>513</v>
      </c>
      <c r="K125" s="254"/>
      <c r="L125" s="259"/>
      <c r="M125" s="272"/>
    </row>
    <row r="126">
      <c r="H126" s="20"/>
      <c r="I126" s="245">
        <v>109.0</v>
      </c>
      <c r="J126" s="257" t="s">
        <v>514</v>
      </c>
      <c r="K126" s="254"/>
      <c r="L126" s="259"/>
      <c r="M126" s="272"/>
    </row>
    <row r="127">
      <c r="H127" s="20"/>
      <c r="I127" s="246"/>
      <c r="J127" s="254"/>
      <c r="K127" s="254"/>
      <c r="L127" s="259"/>
      <c r="M127" s="272"/>
    </row>
    <row r="128">
      <c r="H128" s="20"/>
      <c r="I128" s="245">
        <v>110.0</v>
      </c>
      <c r="J128" s="253" t="s">
        <v>515</v>
      </c>
      <c r="K128" s="257" t="s">
        <v>516</v>
      </c>
      <c r="L128" s="259"/>
      <c r="M128" s="272"/>
    </row>
    <row r="129">
      <c r="H129" s="20"/>
      <c r="I129" s="245">
        <v>111.0</v>
      </c>
      <c r="J129" s="253" t="s">
        <v>517</v>
      </c>
      <c r="K129" s="257" t="s">
        <v>518</v>
      </c>
      <c r="L129" s="253" t="s">
        <v>519</v>
      </c>
      <c r="M129" s="273"/>
    </row>
    <row r="130" ht="42.75" customHeight="1">
      <c r="H130" s="20"/>
      <c r="I130" s="245">
        <v>112.0</v>
      </c>
      <c r="J130" s="253" t="s">
        <v>482</v>
      </c>
      <c r="K130" s="257" t="s">
        <v>520</v>
      </c>
      <c r="L130" s="274" t="s">
        <v>521</v>
      </c>
      <c r="M130" s="273"/>
    </row>
    <row r="131" ht="36.75" customHeight="1">
      <c r="H131" s="20"/>
      <c r="I131" s="245">
        <v>113.0</v>
      </c>
      <c r="J131" s="253" t="s">
        <v>482</v>
      </c>
      <c r="K131" s="257" t="s">
        <v>522</v>
      </c>
      <c r="L131" s="25"/>
      <c r="M131" s="273"/>
    </row>
    <row r="132">
      <c r="H132" s="20"/>
      <c r="I132" s="245">
        <v>114.0</v>
      </c>
      <c r="J132" s="253" t="s">
        <v>523</v>
      </c>
      <c r="K132" s="257" t="s">
        <v>524</v>
      </c>
      <c r="L132" s="253" t="s">
        <v>525</v>
      </c>
      <c r="M132" s="273"/>
    </row>
    <row r="133">
      <c r="H133" s="20"/>
      <c r="I133" s="245">
        <v>115.0</v>
      </c>
      <c r="J133" s="257" t="s">
        <v>526</v>
      </c>
      <c r="K133" s="254"/>
      <c r="L133" s="259"/>
      <c r="M133" s="272"/>
    </row>
    <row r="134">
      <c r="H134" s="20"/>
      <c r="I134" s="245">
        <v>116.0</v>
      </c>
      <c r="J134" s="257" t="s">
        <v>527</v>
      </c>
      <c r="K134" s="254"/>
      <c r="L134" s="259"/>
      <c r="M134" s="272"/>
    </row>
    <row r="135">
      <c r="H135" s="20"/>
      <c r="I135" s="245">
        <v>117.0</v>
      </c>
      <c r="J135" s="257" t="s">
        <v>528</v>
      </c>
      <c r="K135" s="254"/>
      <c r="L135" s="259"/>
      <c r="M135" s="272"/>
    </row>
    <row r="136">
      <c r="H136" s="20"/>
      <c r="I136" s="245">
        <v>118.0</v>
      </c>
      <c r="J136" s="275" t="s">
        <v>523</v>
      </c>
      <c r="K136" s="257" t="s">
        <v>529</v>
      </c>
      <c r="L136" s="259"/>
      <c r="M136" s="272"/>
    </row>
    <row r="137">
      <c r="H137" s="20"/>
      <c r="I137" s="246"/>
      <c r="J137" s="254"/>
      <c r="K137" s="254"/>
      <c r="L137" s="259"/>
      <c r="M137" s="272"/>
    </row>
    <row r="138">
      <c r="H138" s="20"/>
      <c r="I138" s="245" t="s">
        <v>530</v>
      </c>
      <c r="J138" s="257" t="s">
        <v>531</v>
      </c>
      <c r="K138" s="257" t="s">
        <v>532</v>
      </c>
      <c r="L138" s="259"/>
      <c r="M138" s="272"/>
    </row>
    <row r="139">
      <c r="H139" s="20"/>
      <c r="I139" s="246"/>
      <c r="J139" s="254"/>
      <c r="K139" s="254"/>
      <c r="L139" s="259"/>
      <c r="M139" s="272"/>
    </row>
    <row r="140">
      <c r="H140" s="20"/>
      <c r="I140" s="245">
        <v>130.0</v>
      </c>
      <c r="J140" s="245" t="s">
        <v>533</v>
      </c>
      <c r="K140" s="257" t="s">
        <v>534</v>
      </c>
      <c r="L140" s="274" t="s">
        <v>535</v>
      </c>
      <c r="M140" s="273"/>
    </row>
    <row r="141" ht="170.25" customHeight="1">
      <c r="H141" s="20"/>
      <c r="I141" s="245">
        <v>131.0</v>
      </c>
      <c r="J141" s="245" t="s">
        <v>533</v>
      </c>
      <c r="K141" s="244" t="s">
        <v>536</v>
      </c>
      <c r="L141" s="25"/>
      <c r="M141" s="273"/>
    </row>
    <row r="142">
      <c r="H142" s="20"/>
      <c r="I142" s="246"/>
      <c r="J142" s="254"/>
      <c r="K142" s="254"/>
      <c r="L142" s="259"/>
      <c r="M142" s="272"/>
    </row>
    <row r="143">
      <c r="H143" s="20"/>
      <c r="I143" s="245">
        <v>150.0</v>
      </c>
      <c r="J143" s="253" t="s">
        <v>537</v>
      </c>
      <c r="K143" s="253" t="s">
        <v>407</v>
      </c>
      <c r="L143" s="245" t="s">
        <v>538</v>
      </c>
      <c r="M143" s="272"/>
    </row>
    <row r="144">
      <c r="H144" s="20"/>
      <c r="I144" s="245">
        <v>151.0</v>
      </c>
      <c r="J144" s="257" t="s">
        <v>539</v>
      </c>
      <c r="K144" s="257" t="s">
        <v>540</v>
      </c>
      <c r="L144" s="253" t="s">
        <v>541</v>
      </c>
      <c r="M144" s="272"/>
    </row>
    <row r="145">
      <c r="H145" s="20"/>
      <c r="I145" s="276">
        <v>152.0</v>
      </c>
      <c r="J145" s="277" t="s">
        <v>542</v>
      </c>
      <c r="K145" s="254"/>
      <c r="L145" s="259"/>
      <c r="M145" s="272"/>
    </row>
    <row r="146">
      <c r="H146" s="20"/>
      <c r="I146" s="278">
        <v>153.0</v>
      </c>
      <c r="J146" s="277" t="s">
        <v>543</v>
      </c>
      <c r="K146" s="254"/>
      <c r="L146" s="259"/>
      <c r="M146" s="272"/>
    </row>
    <row r="147">
      <c r="H147" s="20"/>
      <c r="I147" s="245">
        <v>154.0</v>
      </c>
      <c r="J147" s="257" t="s">
        <v>544</v>
      </c>
      <c r="K147" s="254"/>
      <c r="L147" s="259"/>
      <c r="M147" s="272"/>
    </row>
    <row r="148">
      <c r="H148" s="20"/>
      <c r="I148" s="245">
        <v>155.0</v>
      </c>
      <c r="J148" s="257"/>
      <c r="K148" s="254"/>
      <c r="L148" s="259"/>
      <c r="M148" s="272"/>
    </row>
    <row r="149">
      <c r="H149" s="20"/>
      <c r="I149" s="246"/>
      <c r="J149" s="254"/>
      <c r="K149" s="254"/>
      <c r="L149" s="259"/>
      <c r="M149" s="272"/>
    </row>
    <row r="150">
      <c r="H150" s="20"/>
      <c r="I150" s="279">
        <v>155.0</v>
      </c>
      <c r="J150" s="280"/>
      <c r="K150" s="279" t="s">
        <v>545</v>
      </c>
      <c r="L150" s="281" t="s">
        <v>546</v>
      </c>
      <c r="M150" s="282"/>
    </row>
    <row r="151">
      <c r="H151" s="20"/>
      <c r="I151" s="279">
        <v>156.0</v>
      </c>
      <c r="J151" s="279" t="s">
        <v>547</v>
      </c>
      <c r="K151" s="279" t="s">
        <v>548</v>
      </c>
      <c r="L151" s="281" t="s">
        <v>549</v>
      </c>
      <c r="M151" s="283" t="s">
        <v>550</v>
      </c>
    </row>
    <row r="152">
      <c r="H152" s="20"/>
      <c r="I152" s="245">
        <v>157.0</v>
      </c>
      <c r="J152" s="257"/>
      <c r="K152" s="254"/>
      <c r="L152" s="246"/>
      <c r="M152" s="247"/>
    </row>
    <row r="153">
      <c r="H153" s="20"/>
      <c r="I153" s="245"/>
      <c r="J153" s="257"/>
      <c r="K153" s="254"/>
      <c r="L153" s="246"/>
      <c r="M153" s="247"/>
    </row>
    <row r="154">
      <c r="H154" s="20"/>
      <c r="I154" s="245"/>
      <c r="J154" s="257"/>
      <c r="K154" s="254"/>
      <c r="L154" s="246"/>
      <c r="M154" s="247"/>
    </row>
    <row r="155">
      <c r="H155" s="20"/>
      <c r="I155" s="245">
        <v>160.0</v>
      </c>
      <c r="J155" s="257" t="s">
        <v>551</v>
      </c>
      <c r="K155" s="254"/>
      <c r="L155" s="257" t="s">
        <v>552</v>
      </c>
      <c r="M155" s="247"/>
    </row>
    <row r="156">
      <c r="H156" s="20"/>
      <c r="I156" s="245">
        <v>161.0</v>
      </c>
      <c r="J156" s="257" t="s">
        <v>551</v>
      </c>
      <c r="K156" s="254"/>
      <c r="L156" s="257" t="s">
        <v>553</v>
      </c>
      <c r="M156" s="247"/>
    </row>
    <row r="157">
      <c r="H157" s="20"/>
      <c r="I157" s="245">
        <v>162.0</v>
      </c>
      <c r="J157" s="257" t="s">
        <v>551</v>
      </c>
      <c r="K157" s="254"/>
      <c r="L157" s="257" t="s">
        <v>554</v>
      </c>
      <c r="M157" s="247"/>
    </row>
    <row r="158">
      <c r="H158" s="20"/>
      <c r="I158" s="245">
        <v>163.0</v>
      </c>
      <c r="J158" s="257" t="s">
        <v>551</v>
      </c>
      <c r="K158" s="254"/>
      <c r="L158" s="257" t="s">
        <v>555</v>
      </c>
      <c r="M158" s="247"/>
    </row>
    <row r="159">
      <c r="H159" s="20"/>
      <c r="I159" s="245">
        <v>164.0</v>
      </c>
      <c r="J159" s="257" t="s">
        <v>551</v>
      </c>
      <c r="K159" s="254"/>
      <c r="L159" s="257" t="s">
        <v>556</v>
      </c>
      <c r="M159" s="247"/>
    </row>
    <row r="160">
      <c r="H160" s="20"/>
      <c r="I160" s="245">
        <v>165.0</v>
      </c>
      <c r="J160" s="257" t="s">
        <v>551</v>
      </c>
      <c r="K160" s="254"/>
      <c r="L160" s="257" t="s">
        <v>557</v>
      </c>
      <c r="M160" s="247"/>
    </row>
    <row r="161">
      <c r="H161" s="20"/>
      <c r="I161" s="245">
        <v>166.0</v>
      </c>
      <c r="J161" s="257" t="s">
        <v>551</v>
      </c>
      <c r="K161" s="254"/>
      <c r="L161" s="257" t="s">
        <v>558</v>
      </c>
      <c r="M161" s="247"/>
    </row>
    <row r="162">
      <c r="H162" s="20"/>
      <c r="I162" s="245">
        <v>167.0</v>
      </c>
      <c r="J162" s="257" t="s">
        <v>551</v>
      </c>
      <c r="K162" s="254"/>
      <c r="L162" s="257" t="s">
        <v>559</v>
      </c>
      <c r="M162" s="247"/>
    </row>
    <row r="163">
      <c r="H163" s="20"/>
      <c r="I163" s="245">
        <v>168.0</v>
      </c>
      <c r="J163" s="257" t="s">
        <v>551</v>
      </c>
      <c r="K163" s="254"/>
      <c r="L163" s="246"/>
      <c r="M163" s="247"/>
    </row>
    <row r="164">
      <c r="H164" s="20"/>
      <c r="I164" s="245">
        <v>169.0</v>
      </c>
      <c r="J164" s="257" t="s">
        <v>551</v>
      </c>
      <c r="K164" s="254"/>
      <c r="L164" s="246"/>
      <c r="M164" s="247"/>
    </row>
    <row r="165">
      <c r="H165" s="20"/>
      <c r="I165" s="245">
        <v>170.0</v>
      </c>
      <c r="J165" s="257" t="s">
        <v>560</v>
      </c>
      <c r="K165" s="254"/>
      <c r="L165" s="246"/>
      <c r="M165" s="247"/>
    </row>
    <row r="166">
      <c r="H166" s="20"/>
      <c r="I166" s="245">
        <v>171.0</v>
      </c>
      <c r="J166" s="257" t="s">
        <v>561</v>
      </c>
      <c r="K166" s="254"/>
      <c r="L166" s="246"/>
      <c r="M166" s="247"/>
    </row>
    <row r="167">
      <c r="H167" s="20"/>
      <c r="I167" s="245">
        <v>172.0</v>
      </c>
      <c r="J167" s="257" t="s">
        <v>562</v>
      </c>
      <c r="K167" s="254"/>
      <c r="L167" s="246"/>
      <c r="M167" s="247"/>
    </row>
    <row r="168">
      <c r="H168" s="20"/>
      <c r="I168" s="245">
        <v>173.0</v>
      </c>
      <c r="J168" s="257" t="s">
        <v>563</v>
      </c>
      <c r="K168" s="254"/>
      <c r="L168" s="246"/>
      <c r="M168" s="247"/>
    </row>
    <row r="169">
      <c r="H169" s="20"/>
      <c r="I169" s="245">
        <v>174.0</v>
      </c>
      <c r="J169" s="254"/>
      <c r="K169" s="254"/>
      <c r="L169" s="246"/>
      <c r="M169" s="247"/>
    </row>
    <row r="170">
      <c r="H170" s="20"/>
      <c r="I170" s="245">
        <v>175.0</v>
      </c>
      <c r="J170" s="257" t="s">
        <v>564</v>
      </c>
      <c r="K170" s="257"/>
      <c r="L170" s="246"/>
      <c r="M170" s="247"/>
    </row>
    <row r="171">
      <c r="H171" s="20"/>
      <c r="I171" s="246"/>
      <c r="J171" s="254"/>
      <c r="K171" s="254"/>
      <c r="L171" s="246"/>
      <c r="M171" s="247"/>
    </row>
    <row r="172">
      <c r="H172" s="20"/>
      <c r="I172" s="284">
        <v>190.0</v>
      </c>
      <c r="J172" s="253" t="s">
        <v>565</v>
      </c>
      <c r="K172" s="253" t="s">
        <v>566</v>
      </c>
      <c r="L172" s="245" t="s">
        <v>567</v>
      </c>
      <c r="M172" s="256"/>
    </row>
    <row r="173">
      <c r="H173" s="20"/>
      <c r="I173" s="248">
        <v>200.0</v>
      </c>
      <c r="J173" s="244" t="s">
        <v>568</v>
      </c>
      <c r="K173" s="244" t="s">
        <v>320</v>
      </c>
      <c r="L173" s="249" t="s">
        <v>569</v>
      </c>
      <c r="M173" s="247"/>
    </row>
    <row r="174">
      <c r="H174" s="20"/>
      <c r="I174" s="248">
        <v>201.0</v>
      </c>
      <c r="J174" s="244" t="s">
        <v>570</v>
      </c>
      <c r="K174" s="244" t="s">
        <v>323</v>
      </c>
      <c r="L174" s="249" t="s">
        <v>571</v>
      </c>
      <c r="M174" s="247"/>
    </row>
    <row r="175" ht="29.25" customHeight="1">
      <c r="H175" s="20"/>
      <c r="I175" s="248">
        <v>202.0</v>
      </c>
      <c r="J175" s="253" t="s">
        <v>572</v>
      </c>
      <c r="K175" s="274" t="s">
        <v>573</v>
      </c>
      <c r="L175" s="246"/>
      <c r="M175" s="247"/>
    </row>
    <row r="176" ht="29.25" customHeight="1">
      <c r="H176" s="20"/>
      <c r="I176" s="248">
        <v>203.0</v>
      </c>
      <c r="J176" s="253" t="s">
        <v>574</v>
      </c>
      <c r="K176" s="25"/>
      <c r="L176" s="246"/>
      <c r="M176" s="247"/>
    </row>
    <row r="177">
      <c r="H177" s="20"/>
      <c r="I177" s="245">
        <v>204.0</v>
      </c>
      <c r="J177" s="257" t="s">
        <v>575</v>
      </c>
      <c r="K177" s="257"/>
      <c r="L177" s="246"/>
      <c r="M177" s="247"/>
    </row>
    <row r="178">
      <c r="H178" s="20"/>
      <c r="I178" s="245">
        <v>205.0</v>
      </c>
      <c r="J178" s="257" t="s">
        <v>575</v>
      </c>
      <c r="K178" s="257"/>
      <c r="L178" s="246"/>
      <c r="M178" s="247"/>
    </row>
    <row r="179">
      <c r="H179" s="20"/>
      <c r="I179" s="245">
        <v>206.0</v>
      </c>
      <c r="J179" s="257"/>
      <c r="K179" s="257"/>
      <c r="L179" s="246"/>
      <c r="M179" s="247"/>
    </row>
    <row r="180">
      <c r="H180" s="20"/>
      <c r="I180" s="245">
        <v>207.0</v>
      </c>
      <c r="J180" s="257"/>
      <c r="K180" s="257"/>
      <c r="L180" s="246"/>
      <c r="M180" s="247"/>
    </row>
    <row r="181">
      <c r="H181" s="20"/>
      <c r="I181" s="245" t="s">
        <v>18</v>
      </c>
      <c r="J181" s="253"/>
      <c r="K181" s="253"/>
      <c r="L181" s="246"/>
      <c r="M181" s="247"/>
    </row>
    <row r="182">
      <c r="H182" s="20"/>
      <c r="I182" s="252" t="s">
        <v>576</v>
      </c>
      <c r="J182" s="253" t="s">
        <v>577</v>
      </c>
      <c r="K182" s="253" t="s">
        <v>578</v>
      </c>
      <c r="L182" s="285" t="s">
        <v>579</v>
      </c>
      <c r="M182" s="247"/>
    </row>
    <row r="183">
      <c r="H183" s="20"/>
      <c r="I183" s="245"/>
      <c r="J183" s="253"/>
      <c r="K183" s="253"/>
      <c r="L183" s="246"/>
      <c r="M183" s="247"/>
    </row>
    <row r="184">
      <c r="H184" s="20"/>
      <c r="I184" s="245"/>
      <c r="J184" s="253"/>
      <c r="K184" s="253"/>
      <c r="L184" s="246"/>
      <c r="M184" s="247"/>
    </row>
    <row r="185">
      <c r="H185" s="20"/>
      <c r="I185" s="245">
        <v>22.0</v>
      </c>
      <c r="J185" s="253"/>
      <c r="K185" s="253"/>
      <c r="L185" s="246"/>
      <c r="M185" s="247"/>
    </row>
    <row r="186">
      <c r="H186" s="20"/>
      <c r="I186" s="245"/>
      <c r="J186" s="253"/>
      <c r="K186" s="253"/>
      <c r="L186" s="246"/>
      <c r="M186" s="247"/>
    </row>
    <row r="187" ht="10.5" customHeight="1">
      <c r="H187" s="20"/>
      <c r="I187" s="245" t="s">
        <v>18</v>
      </c>
      <c r="J187" s="259"/>
      <c r="K187" s="259"/>
      <c r="L187" s="246"/>
      <c r="M187" s="247"/>
    </row>
    <row r="188">
      <c r="H188" s="20"/>
      <c r="I188" s="245">
        <v>250.0</v>
      </c>
      <c r="J188" s="244" t="s">
        <v>580</v>
      </c>
      <c r="K188" s="244" t="s">
        <v>581</v>
      </c>
      <c r="L188" s="246"/>
      <c r="M188" s="247"/>
    </row>
    <row r="189">
      <c r="H189" s="20"/>
      <c r="I189" s="248">
        <v>251.0</v>
      </c>
      <c r="J189" s="244" t="s">
        <v>582</v>
      </c>
      <c r="K189" s="244" t="s">
        <v>583</v>
      </c>
      <c r="L189" s="245" t="s">
        <v>584</v>
      </c>
      <c r="M189" s="247"/>
    </row>
    <row r="190">
      <c r="H190" s="20"/>
      <c r="I190" s="248">
        <v>252.0</v>
      </c>
      <c r="J190" s="244" t="s">
        <v>585</v>
      </c>
      <c r="K190" s="244" t="s">
        <v>586</v>
      </c>
      <c r="L190" s="246"/>
      <c r="M190" s="247"/>
    </row>
    <row r="191" ht="20.25" customHeight="1">
      <c r="H191" s="20"/>
      <c r="I191" s="248">
        <v>253.0</v>
      </c>
      <c r="J191" s="253" t="s">
        <v>587</v>
      </c>
      <c r="K191" s="274" t="s">
        <v>588</v>
      </c>
      <c r="L191" s="245" t="s">
        <v>589</v>
      </c>
      <c r="M191" s="247"/>
    </row>
    <row r="192" ht="146.25" customHeight="1">
      <c r="H192" s="20"/>
      <c r="I192" s="248">
        <v>254.0</v>
      </c>
      <c r="J192" s="253" t="s">
        <v>590</v>
      </c>
      <c r="K192" s="25"/>
      <c r="L192" s="245" t="s">
        <v>591</v>
      </c>
      <c r="M192" s="247"/>
    </row>
    <row r="193">
      <c r="H193" s="20"/>
      <c r="I193" s="245">
        <v>255.0</v>
      </c>
      <c r="J193" s="253" t="s">
        <v>592</v>
      </c>
      <c r="K193" s="259"/>
      <c r="L193" s="246"/>
      <c r="M193" s="247"/>
    </row>
    <row r="194">
      <c r="H194" s="20"/>
      <c r="I194" s="286"/>
      <c r="J194" s="54"/>
      <c r="K194" s="54"/>
      <c r="L194" s="29"/>
      <c r="M194" s="234"/>
    </row>
    <row r="195">
      <c r="H195" s="20"/>
      <c r="I195" s="48"/>
      <c r="L195" s="20"/>
      <c r="M195" s="234"/>
    </row>
    <row r="196">
      <c r="H196" s="20"/>
      <c r="I196" s="30"/>
      <c r="J196" s="4"/>
      <c r="K196" s="4"/>
      <c r="L196" s="27"/>
      <c r="M196" s="234"/>
    </row>
    <row r="197">
      <c r="H197" s="20"/>
      <c r="I197" s="240" t="s">
        <v>593</v>
      </c>
      <c r="J197" s="6"/>
      <c r="K197" s="6"/>
      <c r="L197" s="7"/>
      <c r="M197" s="241"/>
    </row>
    <row r="198">
      <c r="H198" s="20"/>
      <c r="I198" s="242" t="s">
        <v>594</v>
      </c>
      <c r="J198" s="242" t="s">
        <v>297</v>
      </c>
      <c r="K198" s="242" t="s">
        <v>298</v>
      </c>
      <c r="L198" s="242" t="s">
        <v>229</v>
      </c>
      <c r="M198" s="223"/>
    </row>
    <row r="199">
      <c r="H199" s="20"/>
      <c r="I199" s="243">
        <v>0.0</v>
      </c>
      <c r="J199" s="257" t="s">
        <v>595</v>
      </c>
      <c r="K199" s="257" t="s">
        <v>596</v>
      </c>
      <c r="L199" s="287" t="s">
        <v>597</v>
      </c>
      <c r="M199" s="288"/>
    </row>
    <row r="200">
      <c r="H200" s="20"/>
      <c r="I200" s="245">
        <v>1.0</v>
      </c>
      <c r="J200" s="257" t="s">
        <v>598</v>
      </c>
      <c r="K200" s="257" t="s">
        <v>596</v>
      </c>
      <c r="L200" s="15"/>
      <c r="M200" s="288"/>
    </row>
    <row r="201">
      <c r="H201" s="20"/>
      <c r="I201" s="245">
        <v>2.0</v>
      </c>
      <c r="J201" s="257" t="s">
        <v>599</v>
      </c>
      <c r="K201" s="257" t="s">
        <v>596</v>
      </c>
      <c r="L201" s="15"/>
      <c r="M201" s="288"/>
    </row>
    <row r="202">
      <c r="H202" s="20"/>
      <c r="I202" s="245">
        <v>3.0</v>
      </c>
      <c r="J202" s="257" t="s">
        <v>600</v>
      </c>
      <c r="K202" s="257" t="s">
        <v>596</v>
      </c>
      <c r="L202" s="15"/>
      <c r="M202" s="288"/>
    </row>
    <row r="203">
      <c r="H203" s="20"/>
      <c r="I203" s="245">
        <v>4.0</v>
      </c>
      <c r="J203" s="257" t="s">
        <v>601</v>
      </c>
      <c r="K203" s="257" t="s">
        <v>596</v>
      </c>
      <c r="L203" s="15"/>
      <c r="M203" s="288"/>
    </row>
    <row r="204">
      <c r="H204" s="20"/>
      <c r="I204" s="245">
        <v>5.0</v>
      </c>
      <c r="J204" s="257" t="s">
        <v>602</v>
      </c>
      <c r="K204" s="257" t="s">
        <v>596</v>
      </c>
      <c r="L204" s="15"/>
      <c r="M204" s="288"/>
    </row>
    <row r="205">
      <c r="H205" s="20"/>
      <c r="I205" s="245">
        <v>6.0</v>
      </c>
      <c r="J205" s="257" t="s">
        <v>603</v>
      </c>
      <c r="K205" s="257" t="s">
        <v>596</v>
      </c>
      <c r="L205" s="15"/>
      <c r="M205" s="288"/>
    </row>
    <row r="206">
      <c r="H206" s="20"/>
      <c r="I206" s="245">
        <v>7.0</v>
      </c>
      <c r="J206" s="257" t="s">
        <v>604</v>
      </c>
      <c r="K206" s="257" t="s">
        <v>596</v>
      </c>
      <c r="L206" s="15"/>
      <c r="M206" s="288"/>
    </row>
    <row r="207">
      <c r="H207" s="20"/>
      <c r="I207" s="245">
        <v>8.0</v>
      </c>
      <c r="J207" s="257" t="s">
        <v>605</v>
      </c>
      <c r="K207" s="257" t="s">
        <v>596</v>
      </c>
      <c r="L207" s="15"/>
      <c r="M207" s="288"/>
    </row>
    <row r="208">
      <c r="H208" s="20"/>
      <c r="I208" s="245">
        <v>9.0</v>
      </c>
      <c r="J208" s="257" t="s">
        <v>606</v>
      </c>
      <c r="K208" s="257" t="s">
        <v>596</v>
      </c>
      <c r="L208" s="15"/>
      <c r="M208" s="288"/>
    </row>
    <row r="209">
      <c r="H209" s="20"/>
      <c r="I209" s="245">
        <v>10.0</v>
      </c>
      <c r="J209" s="257" t="s">
        <v>607</v>
      </c>
      <c r="K209" s="257" t="s">
        <v>596</v>
      </c>
      <c r="L209" s="15"/>
      <c r="M209" s="288"/>
    </row>
    <row r="210">
      <c r="H210" s="20"/>
      <c r="I210" s="245">
        <v>11.0</v>
      </c>
      <c r="J210" s="257" t="s">
        <v>608</v>
      </c>
      <c r="K210" s="257" t="s">
        <v>596</v>
      </c>
      <c r="L210" s="15"/>
      <c r="M210" s="288"/>
    </row>
    <row r="211">
      <c r="H211" s="20"/>
      <c r="I211" s="245">
        <v>12.0</v>
      </c>
      <c r="J211" s="274" t="s">
        <v>609</v>
      </c>
      <c r="K211" s="274" t="s">
        <v>610</v>
      </c>
      <c r="L211" s="15"/>
      <c r="M211" s="288"/>
    </row>
    <row r="212">
      <c r="H212" s="20"/>
      <c r="I212" s="245">
        <v>13.0</v>
      </c>
      <c r="J212" s="25"/>
      <c r="K212" s="25"/>
      <c r="L212" s="15"/>
      <c r="M212" s="288"/>
    </row>
    <row r="213">
      <c r="H213" s="20"/>
      <c r="I213" s="245">
        <v>14.0</v>
      </c>
      <c r="J213" s="274" t="s">
        <v>611</v>
      </c>
      <c r="K213" s="274" t="s">
        <v>612</v>
      </c>
      <c r="L213" s="15"/>
      <c r="M213" s="288"/>
    </row>
    <row r="214">
      <c r="H214" s="20"/>
      <c r="I214" s="245">
        <v>15.0</v>
      </c>
      <c r="J214" s="25"/>
      <c r="K214" s="25"/>
      <c r="L214" s="15"/>
      <c r="M214" s="288"/>
    </row>
    <row r="215">
      <c r="H215" s="20"/>
      <c r="I215" s="245">
        <v>16.0</v>
      </c>
      <c r="J215" s="253" t="s">
        <v>613</v>
      </c>
      <c r="K215" s="253" t="s">
        <v>614</v>
      </c>
      <c r="L215" s="15"/>
      <c r="M215" s="288"/>
    </row>
    <row r="216">
      <c r="H216" s="20"/>
      <c r="I216" s="245">
        <v>17.0</v>
      </c>
      <c r="J216" s="253" t="s">
        <v>615</v>
      </c>
      <c r="K216" s="253" t="s">
        <v>616</v>
      </c>
      <c r="L216" s="15"/>
      <c r="M216" s="288"/>
    </row>
    <row r="217">
      <c r="H217" s="20"/>
      <c r="I217" s="245">
        <v>18.0</v>
      </c>
      <c r="J217" s="253" t="s">
        <v>617</v>
      </c>
      <c r="K217" s="253" t="s">
        <v>618</v>
      </c>
      <c r="L217" s="15"/>
      <c r="M217" s="288"/>
    </row>
    <row r="218">
      <c r="H218" s="20"/>
      <c r="I218" s="245">
        <v>19.0</v>
      </c>
      <c r="J218" s="253" t="s">
        <v>619</v>
      </c>
      <c r="K218" s="253" t="s">
        <v>620</v>
      </c>
      <c r="L218" s="15"/>
      <c r="M218" s="288"/>
    </row>
    <row r="219">
      <c r="H219" s="20"/>
      <c r="I219" s="245">
        <v>20.0</v>
      </c>
      <c r="J219" s="253" t="s">
        <v>621</v>
      </c>
      <c r="K219" s="253" t="s">
        <v>622</v>
      </c>
      <c r="L219" s="15"/>
      <c r="M219" s="288"/>
    </row>
    <row r="220">
      <c r="H220" s="20"/>
      <c r="I220" s="245">
        <v>21.0</v>
      </c>
      <c r="J220" s="253" t="s">
        <v>623</v>
      </c>
      <c r="K220" s="253" t="s">
        <v>624</v>
      </c>
      <c r="L220" s="15"/>
      <c r="M220" s="288"/>
    </row>
    <row r="221">
      <c r="H221" s="20"/>
      <c r="I221" s="245">
        <v>22.0</v>
      </c>
      <c r="J221" s="274" t="s">
        <v>625</v>
      </c>
      <c r="K221" s="274" t="s">
        <v>626</v>
      </c>
      <c r="L221" s="15"/>
      <c r="M221" s="288"/>
    </row>
    <row r="222">
      <c r="H222" s="20"/>
      <c r="I222" s="245">
        <v>23.0</v>
      </c>
      <c r="J222" s="25"/>
      <c r="K222" s="25"/>
      <c r="L222" s="15"/>
      <c r="M222" s="288"/>
    </row>
    <row r="223">
      <c r="H223" s="20"/>
      <c r="I223" s="245">
        <v>24.0</v>
      </c>
      <c r="J223" s="274" t="s">
        <v>627</v>
      </c>
      <c r="K223" s="274" t="s">
        <v>628</v>
      </c>
      <c r="L223" s="15"/>
      <c r="M223" s="288"/>
    </row>
    <row r="224">
      <c r="H224" s="20"/>
      <c r="I224" s="245">
        <v>25.0</v>
      </c>
      <c r="J224" s="15"/>
      <c r="K224" s="15"/>
      <c r="L224" s="15"/>
      <c r="M224" s="288"/>
    </row>
    <row r="225">
      <c r="H225" s="20"/>
      <c r="I225" s="245">
        <v>26.0</v>
      </c>
      <c r="J225" s="15"/>
      <c r="K225" s="15"/>
      <c r="L225" s="15"/>
      <c r="M225" s="288"/>
    </row>
    <row r="226">
      <c r="H226" s="20"/>
      <c r="I226" s="245">
        <v>27.0</v>
      </c>
      <c r="J226" s="15"/>
      <c r="K226" s="15"/>
      <c r="L226" s="15"/>
      <c r="M226" s="288"/>
    </row>
    <row r="227">
      <c r="H227" s="20"/>
      <c r="I227" s="245">
        <v>28.0</v>
      </c>
      <c r="J227" s="15"/>
      <c r="K227" s="15"/>
      <c r="L227" s="15"/>
      <c r="M227" s="288"/>
    </row>
    <row r="228">
      <c r="H228" s="20"/>
      <c r="I228" s="245">
        <v>29.0</v>
      </c>
      <c r="J228" s="15"/>
      <c r="K228" s="15"/>
      <c r="L228" s="15"/>
      <c r="M228" s="288"/>
    </row>
    <row r="229">
      <c r="H229" s="20"/>
      <c r="I229" s="245" t="s">
        <v>629</v>
      </c>
      <c r="J229" s="15"/>
      <c r="K229" s="15"/>
      <c r="L229" s="15"/>
      <c r="M229" s="288"/>
    </row>
    <row r="230">
      <c r="H230" s="20"/>
      <c r="I230" s="245">
        <v>31.0</v>
      </c>
      <c r="J230" s="25"/>
      <c r="K230" s="25"/>
      <c r="L230" s="25"/>
      <c r="M230" s="288"/>
    </row>
    <row r="231" ht="41.25" customHeight="1">
      <c r="H231" s="20"/>
      <c r="I231" s="289"/>
      <c r="J231" s="6"/>
      <c r="K231" s="6"/>
      <c r="L231" s="7"/>
      <c r="M231" s="247"/>
    </row>
    <row r="232" ht="41.25" customHeight="1">
      <c r="H232" s="20"/>
      <c r="I232" s="290" t="s">
        <v>630</v>
      </c>
      <c r="J232" s="6"/>
      <c r="K232" s="6"/>
      <c r="L232" s="7"/>
      <c r="M232" s="247"/>
    </row>
    <row r="233" ht="41.25" customHeight="1">
      <c r="H233" s="20"/>
      <c r="I233" s="291" t="s">
        <v>594</v>
      </c>
      <c r="J233" s="291" t="s">
        <v>297</v>
      </c>
      <c r="K233" s="291" t="s">
        <v>298</v>
      </c>
      <c r="L233" s="291" t="s">
        <v>229</v>
      </c>
      <c r="M233" s="247"/>
    </row>
    <row r="234" ht="27.0" customHeight="1">
      <c r="H234" s="20"/>
      <c r="I234" s="292">
        <v>0.0</v>
      </c>
      <c r="J234" s="293" t="s">
        <v>631</v>
      </c>
      <c r="K234" s="293" t="s">
        <v>632</v>
      </c>
      <c r="L234" s="294"/>
      <c r="M234" s="247"/>
    </row>
    <row r="235" ht="24.0" customHeight="1">
      <c r="H235" s="20"/>
      <c r="I235" s="292">
        <v>1.0</v>
      </c>
      <c r="J235" s="25"/>
      <c r="K235" s="25"/>
      <c r="L235" s="294"/>
      <c r="M235" s="247"/>
    </row>
    <row r="236" ht="32.25" customHeight="1">
      <c r="H236" s="20"/>
      <c r="I236" s="292">
        <v>2.0</v>
      </c>
      <c r="J236" s="293" t="s">
        <v>633</v>
      </c>
      <c r="K236" s="293" t="s">
        <v>634</v>
      </c>
      <c r="L236" s="294"/>
      <c r="M236" s="247"/>
    </row>
    <row r="237" ht="33.0" customHeight="1">
      <c r="H237" s="20"/>
      <c r="I237" s="292">
        <v>3.0</v>
      </c>
      <c r="J237" s="15"/>
      <c r="K237" s="15"/>
      <c r="L237" s="294"/>
      <c r="M237" s="247"/>
    </row>
    <row r="238" ht="33.0" customHeight="1">
      <c r="H238" s="20"/>
      <c r="I238" s="292">
        <v>4.0</v>
      </c>
      <c r="J238" s="25"/>
      <c r="K238" s="25"/>
      <c r="L238" s="294"/>
      <c r="M238" s="247"/>
    </row>
    <row r="239" ht="41.25" customHeight="1">
      <c r="H239" s="20"/>
      <c r="I239" s="292">
        <v>5.0</v>
      </c>
      <c r="J239" s="295" t="s">
        <v>635</v>
      </c>
      <c r="K239" s="295" t="s">
        <v>636</v>
      </c>
      <c r="L239" s="294"/>
      <c r="M239" s="247"/>
    </row>
    <row r="240" ht="41.25" customHeight="1">
      <c r="H240" s="20"/>
      <c r="I240" s="292">
        <v>6.0</v>
      </c>
      <c r="J240" s="293" t="s">
        <v>637</v>
      </c>
      <c r="K240" s="293" t="s">
        <v>638</v>
      </c>
      <c r="L240" s="294"/>
      <c r="M240" s="247"/>
    </row>
    <row r="241" ht="53.25" customHeight="1">
      <c r="H241" s="20"/>
      <c r="I241" s="292">
        <v>7.0</v>
      </c>
      <c r="J241" s="15"/>
      <c r="K241" s="15"/>
      <c r="L241" s="294"/>
      <c r="M241" s="247"/>
    </row>
    <row r="242" ht="53.25" customHeight="1">
      <c r="H242" s="20"/>
      <c r="I242" s="296">
        <v>8.0</v>
      </c>
      <c r="J242" s="25"/>
      <c r="K242" s="25"/>
      <c r="L242" s="294"/>
      <c r="M242" s="247"/>
    </row>
    <row r="243" ht="41.25" customHeight="1">
      <c r="H243" s="20"/>
      <c r="I243" s="296">
        <v>9.0</v>
      </c>
      <c r="J243" s="293" t="s">
        <v>639</v>
      </c>
      <c r="K243" s="293" t="s">
        <v>638</v>
      </c>
      <c r="L243" s="294"/>
      <c r="M243" s="247"/>
    </row>
    <row r="244" ht="41.25" customHeight="1">
      <c r="H244" s="20"/>
      <c r="I244" s="296">
        <v>10.0</v>
      </c>
      <c r="J244" s="15"/>
      <c r="K244" s="15"/>
      <c r="L244" s="294"/>
      <c r="M244" s="247"/>
    </row>
    <row r="245" ht="41.25" customHeight="1">
      <c r="H245" s="20"/>
      <c r="I245" s="296">
        <v>11.0</v>
      </c>
      <c r="J245" s="25"/>
      <c r="K245" s="25"/>
      <c r="L245" s="294"/>
      <c r="M245" s="247"/>
    </row>
    <row r="246" ht="41.25" customHeight="1">
      <c r="H246" s="20"/>
      <c r="I246" s="296">
        <v>12.0</v>
      </c>
      <c r="J246" s="274" t="s">
        <v>640</v>
      </c>
      <c r="K246" s="293" t="s">
        <v>641</v>
      </c>
      <c r="L246" s="294"/>
      <c r="M246" s="247"/>
    </row>
    <row r="247" ht="41.25" customHeight="1">
      <c r="H247" s="20"/>
      <c r="I247" s="296">
        <v>13.0</v>
      </c>
      <c r="J247" s="25"/>
      <c r="K247" s="25"/>
      <c r="L247" s="294"/>
      <c r="M247" s="247"/>
    </row>
    <row r="248" ht="41.25" customHeight="1">
      <c r="H248" s="20"/>
      <c r="I248" s="296">
        <v>14.0</v>
      </c>
      <c r="J248" s="274" t="s">
        <v>642</v>
      </c>
      <c r="K248" s="293" t="s">
        <v>641</v>
      </c>
      <c r="L248" s="294"/>
      <c r="M248" s="247"/>
    </row>
    <row r="249" ht="41.25" customHeight="1">
      <c r="H249" s="20"/>
      <c r="I249" s="296">
        <v>15.0</v>
      </c>
      <c r="J249" s="25"/>
      <c r="K249" s="25"/>
      <c r="L249" s="294"/>
      <c r="M249" s="247"/>
    </row>
    <row r="250" ht="41.25" customHeight="1">
      <c r="H250" s="20"/>
      <c r="I250" s="296">
        <v>16.0</v>
      </c>
      <c r="J250" s="274" t="s">
        <v>643</v>
      </c>
      <c r="K250" s="293" t="s">
        <v>641</v>
      </c>
      <c r="L250" s="294"/>
      <c r="M250" s="247"/>
    </row>
    <row r="251" ht="41.25" customHeight="1">
      <c r="H251" s="20"/>
      <c r="I251" s="296">
        <v>17.0</v>
      </c>
      <c r="J251" s="25"/>
      <c r="K251" s="25"/>
      <c r="L251" s="294"/>
      <c r="M251" s="247"/>
    </row>
    <row r="252" ht="46.5" customHeight="1">
      <c r="H252" s="20"/>
      <c r="I252" s="296">
        <v>18.0</v>
      </c>
      <c r="J252" s="274" t="s">
        <v>644</v>
      </c>
      <c r="K252" s="293" t="s">
        <v>641</v>
      </c>
      <c r="L252" s="294"/>
      <c r="M252" s="247"/>
    </row>
    <row r="253" ht="25.5" customHeight="1">
      <c r="H253" s="20"/>
      <c r="I253" s="297">
        <v>19.0</v>
      </c>
      <c r="J253" s="15"/>
      <c r="K253" s="15"/>
      <c r="L253" s="294"/>
      <c r="M253" s="247"/>
    </row>
    <row r="254" ht="17.25" customHeight="1">
      <c r="H254" s="20"/>
      <c r="I254" s="25"/>
      <c r="J254" s="25"/>
      <c r="K254" s="25"/>
      <c r="L254" s="294"/>
      <c r="M254" s="247"/>
    </row>
    <row r="255" ht="25.5" customHeight="1">
      <c r="H255" s="20"/>
      <c r="I255" s="292">
        <v>20.0</v>
      </c>
      <c r="J255" s="293" t="s">
        <v>645</v>
      </c>
      <c r="K255" s="293" t="s">
        <v>646</v>
      </c>
      <c r="L255" s="294"/>
      <c r="M255" s="247"/>
    </row>
    <row r="256" ht="24.0" customHeight="1">
      <c r="H256" s="20"/>
      <c r="I256" s="292">
        <v>21.0</v>
      </c>
      <c r="J256" s="25"/>
      <c r="K256" s="25"/>
      <c r="L256" s="294"/>
      <c r="M256" s="247"/>
    </row>
    <row r="257" ht="24.75" customHeight="1">
      <c r="H257" s="20"/>
      <c r="I257" s="292">
        <v>22.0</v>
      </c>
      <c r="J257" s="295" t="s">
        <v>647</v>
      </c>
      <c r="K257" s="295" t="s">
        <v>648</v>
      </c>
      <c r="L257" s="294"/>
      <c r="M257" s="247"/>
    </row>
    <row r="258" ht="30.0" customHeight="1">
      <c r="H258" s="20"/>
      <c r="I258" s="292">
        <v>23.0</v>
      </c>
      <c r="J258" s="298" t="s">
        <v>649</v>
      </c>
      <c r="K258" s="299" t="s">
        <v>650</v>
      </c>
      <c r="L258" s="294"/>
      <c r="M258" s="247"/>
    </row>
    <row r="259" ht="26.25" customHeight="1">
      <c r="H259" s="20"/>
      <c r="I259" s="292">
        <v>24.0</v>
      </c>
      <c r="J259" s="25"/>
      <c r="K259" s="25"/>
      <c r="L259" s="294"/>
      <c r="M259" s="247"/>
    </row>
    <row r="260" ht="41.25" customHeight="1">
      <c r="H260" s="20"/>
      <c r="I260" s="292">
        <v>25.0</v>
      </c>
      <c r="J260" s="295" t="s">
        <v>651</v>
      </c>
      <c r="K260" s="295" t="s">
        <v>652</v>
      </c>
      <c r="L260" s="295"/>
      <c r="M260" s="247"/>
    </row>
    <row r="261" ht="29.25" customHeight="1">
      <c r="H261" s="20"/>
      <c r="I261" s="292">
        <v>26.0</v>
      </c>
      <c r="J261" s="293" t="s">
        <v>653</v>
      </c>
      <c r="K261" s="293" t="s">
        <v>654</v>
      </c>
      <c r="L261" s="294"/>
      <c r="M261" s="247"/>
    </row>
    <row r="262" ht="25.5" customHeight="1">
      <c r="H262" s="20"/>
      <c r="I262" s="292">
        <v>27.0</v>
      </c>
      <c r="J262" s="25"/>
      <c r="K262" s="25"/>
      <c r="L262" s="294"/>
      <c r="M262" s="247"/>
    </row>
    <row r="263" ht="25.5" customHeight="1">
      <c r="H263" s="20"/>
      <c r="I263" s="296" t="s">
        <v>655</v>
      </c>
      <c r="J263" s="295" t="s">
        <v>656</v>
      </c>
      <c r="K263" s="295"/>
      <c r="L263" s="294"/>
      <c r="M263" s="247"/>
    </row>
    <row r="264" ht="25.5" customHeight="1">
      <c r="H264" s="20"/>
      <c r="I264" s="292"/>
      <c r="J264" s="295"/>
      <c r="K264" s="295"/>
      <c r="L264" s="294"/>
      <c r="M264" s="247"/>
    </row>
    <row r="265" ht="41.25" customHeight="1">
      <c r="H265" s="20"/>
      <c r="I265" s="296"/>
      <c r="J265" s="296"/>
      <c r="K265" s="296"/>
      <c r="L265" s="294"/>
      <c r="M265" s="247"/>
    </row>
    <row r="266">
      <c r="H266" s="20"/>
      <c r="I266" s="300" t="s">
        <v>657</v>
      </c>
      <c r="J266" s="6"/>
      <c r="K266" s="6"/>
      <c r="L266" s="7"/>
      <c r="M266" s="222"/>
    </row>
    <row r="267">
      <c r="H267" s="20"/>
      <c r="I267" s="242" t="s">
        <v>658</v>
      </c>
      <c r="J267" s="301" t="s">
        <v>297</v>
      </c>
      <c r="K267" s="242" t="s">
        <v>298</v>
      </c>
      <c r="L267" s="242" t="s">
        <v>229</v>
      </c>
      <c r="M267" s="223"/>
    </row>
    <row r="268">
      <c r="H268" s="20"/>
      <c r="I268" s="243">
        <v>0.0</v>
      </c>
      <c r="J268" s="302"/>
      <c r="K268" s="259"/>
      <c r="L268" s="246"/>
      <c r="M268" s="247"/>
    </row>
    <row r="269">
      <c r="H269" s="20"/>
      <c r="I269" s="245" t="s">
        <v>659</v>
      </c>
      <c r="J269" s="303"/>
      <c r="K269" s="254"/>
      <c r="L269" s="304"/>
      <c r="M269" s="305"/>
    </row>
    <row r="270">
      <c r="H270" s="20"/>
      <c r="I270" s="245">
        <v>5.0</v>
      </c>
      <c r="J270" s="306" t="s">
        <v>660</v>
      </c>
      <c r="K270" s="307" t="s">
        <v>661</v>
      </c>
      <c r="L270" s="304"/>
      <c r="M270" s="305"/>
    </row>
    <row r="271">
      <c r="H271" s="20"/>
      <c r="I271" s="245">
        <v>6.0</v>
      </c>
      <c r="J271" s="306" t="s">
        <v>660</v>
      </c>
      <c r="K271" s="307" t="s">
        <v>662</v>
      </c>
      <c r="L271" s="304"/>
      <c r="M271" s="305"/>
    </row>
    <row r="272">
      <c r="H272" s="20"/>
      <c r="I272" s="245">
        <v>7.0</v>
      </c>
      <c r="J272" s="306" t="s">
        <v>660</v>
      </c>
      <c r="K272" s="307" t="s">
        <v>663</v>
      </c>
      <c r="L272" s="304"/>
      <c r="M272" s="305"/>
    </row>
    <row r="273">
      <c r="H273" s="20"/>
      <c r="I273" s="245">
        <v>8.0</v>
      </c>
      <c r="J273" s="306" t="s">
        <v>660</v>
      </c>
      <c r="K273" s="307" t="s">
        <v>663</v>
      </c>
      <c r="L273" s="304"/>
      <c r="M273" s="305"/>
    </row>
    <row r="274">
      <c r="H274" s="20"/>
      <c r="I274" s="245">
        <v>9.0</v>
      </c>
      <c r="J274" s="306" t="s">
        <v>660</v>
      </c>
      <c r="K274" s="304"/>
      <c r="L274" s="304"/>
      <c r="M274" s="305"/>
    </row>
    <row r="275">
      <c r="H275" s="20"/>
      <c r="I275" s="245">
        <v>10.0</v>
      </c>
      <c r="J275" s="306" t="s">
        <v>664</v>
      </c>
      <c r="K275" s="307" t="s">
        <v>661</v>
      </c>
      <c r="L275" s="304"/>
      <c r="M275" s="305"/>
    </row>
    <row r="276">
      <c r="H276" s="20"/>
      <c r="I276" s="245">
        <v>11.0</v>
      </c>
      <c r="J276" s="306" t="s">
        <v>664</v>
      </c>
      <c r="K276" s="307" t="s">
        <v>662</v>
      </c>
      <c r="L276" s="304"/>
      <c r="M276" s="305"/>
    </row>
    <row r="277">
      <c r="H277" s="20"/>
      <c r="I277" s="245">
        <v>12.0</v>
      </c>
      <c r="J277" s="306" t="s">
        <v>664</v>
      </c>
      <c r="K277" s="307" t="s">
        <v>663</v>
      </c>
      <c r="L277" s="304"/>
      <c r="M277" s="305"/>
    </row>
    <row r="278">
      <c r="H278" s="20"/>
      <c r="I278" s="245">
        <v>13.0</v>
      </c>
      <c r="J278" s="306" t="s">
        <v>664</v>
      </c>
      <c r="K278" s="307" t="s">
        <v>665</v>
      </c>
      <c r="L278" s="304"/>
      <c r="M278" s="305"/>
    </row>
    <row r="279">
      <c r="H279" s="20"/>
      <c r="I279" s="245">
        <v>14.0</v>
      </c>
      <c r="J279" s="306" t="s">
        <v>664</v>
      </c>
      <c r="K279" s="304"/>
      <c r="L279" s="304"/>
      <c r="M279" s="305"/>
    </row>
    <row r="280">
      <c r="H280" s="20"/>
      <c r="I280" s="245">
        <v>15.0</v>
      </c>
      <c r="J280" s="306" t="s">
        <v>666</v>
      </c>
      <c r="K280" s="307" t="s">
        <v>661</v>
      </c>
      <c r="L280" s="304"/>
      <c r="M280" s="305"/>
    </row>
    <row r="281">
      <c r="H281" s="20"/>
      <c r="I281" s="245">
        <v>16.0</v>
      </c>
      <c r="J281" s="306" t="s">
        <v>666</v>
      </c>
      <c r="K281" s="307" t="s">
        <v>662</v>
      </c>
      <c r="L281" s="304"/>
      <c r="M281" s="305"/>
    </row>
    <row r="282">
      <c r="H282" s="20"/>
      <c r="I282" s="245">
        <v>17.0</v>
      </c>
      <c r="J282" s="306" t="s">
        <v>666</v>
      </c>
      <c r="K282" s="307" t="s">
        <v>663</v>
      </c>
      <c r="L282" s="304"/>
      <c r="M282" s="305"/>
    </row>
    <row r="283">
      <c r="H283" s="20"/>
      <c r="I283" s="245">
        <v>18.0</v>
      </c>
      <c r="J283" s="306" t="s">
        <v>666</v>
      </c>
      <c r="K283" s="307" t="s">
        <v>663</v>
      </c>
      <c r="L283" s="304"/>
      <c r="M283" s="305"/>
    </row>
    <row r="284">
      <c r="H284" s="20"/>
      <c r="I284" s="245">
        <v>19.0</v>
      </c>
      <c r="J284" s="306" t="s">
        <v>666</v>
      </c>
      <c r="K284" s="304"/>
      <c r="L284" s="304"/>
      <c r="M284" s="305"/>
    </row>
    <row r="285">
      <c r="H285" s="20"/>
      <c r="I285" s="245">
        <v>20.0</v>
      </c>
      <c r="J285" s="306" t="s">
        <v>667</v>
      </c>
      <c r="K285" s="307" t="s">
        <v>661</v>
      </c>
      <c r="L285" s="304"/>
      <c r="M285" s="305"/>
    </row>
    <row r="286">
      <c r="H286" s="20"/>
      <c r="I286" s="245">
        <v>21.0</v>
      </c>
      <c r="J286" s="306" t="s">
        <v>667</v>
      </c>
      <c r="K286" s="307" t="s">
        <v>662</v>
      </c>
      <c r="L286" s="304"/>
      <c r="M286" s="305"/>
    </row>
    <row r="287">
      <c r="H287" s="20"/>
      <c r="I287" s="245">
        <v>22.0</v>
      </c>
      <c r="J287" s="306" t="s">
        <v>667</v>
      </c>
      <c r="K287" s="307" t="s">
        <v>663</v>
      </c>
      <c r="L287" s="304"/>
      <c r="M287" s="305"/>
    </row>
    <row r="288">
      <c r="H288" s="20"/>
      <c r="I288" s="245">
        <v>23.0</v>
      </c>
      <c r="J288" s="306" t="s">
        <v>667</v>
      </c>
      <c r="K288" s="307" t="s">
        <v>663</v>
      </c>
      <c r="L288" s="304"/>
      <c r="M288" s="305"/>
    </row>
    <row r="289">
      <c r="H289" s="20"/>
      <c r="I289" s="245">
        <v>24.0</v>
      </c>
      <c r="J289" s="306" t="s">
        <v>667</v>
      </c>
      <c r="K289" s="307" t="s">
        <v>668</v>
      </c>
      <c r="L289" s="304"/>
      <c r="M289" s="305"/>
    </row>
    <row r="290">
      <c r="H290" s="20"/>
      <c r="I290" s="245">
        <v>25.0</v>
      </c>
      <c r="J290" s="306" t="s">
        <v>669</v>
      </c>
      <c r="K290" s="307" t="s">
        <v>661</v>
      </c>
      <c r="L290" s="304"/>
      <c r="M290" s="305"/>
    </row>
    <row r="291">
      <c r="H291" s="20"/>
      <c r="I291" s="245">
        <v>26.0</v>
      </c>
      <c r="J291" s="306" t="s">
        <v>669</v>
      </c>
      <c r="K291" s="307" t="s">
        <v>662</v>
      </c>
      <c r="L291" s="304"/>
      <c r="M291" s="305"/>
    </row>
    <row r="292">
      <c r="H292" s="20"/>
      <c r="I292" s="245">
        <v>27.0</v>
      </c>
      <c r="J292" s="306" t="s">
        <v>669</v>
      </c>
      <c r="K292" s="307" t="s">
        <v>663</v>
      </c>
      <c r="L292" s="304"/>
      <c r="M292" s="305"/>
    </row>
    <row r="293">
      <c r="H293" s="20"/>
      <c r="I293" s="245">
        <v>28.0</v>
      </c>
      <c r="J293" s="306" t="s">
        <v>669</v>
      </c>
      <c r="K293" s="307" t="s">
        <v>663</v>
      </c>
      <c r="L293" s="304"/>
      <c r="M293" s="305"/>
    </row>
    <row r="294">
      <c r="H294" s="20"/>
      <c r="I294" s="245">
        <v>29.0</v>
      </c>
      <c r="J294" s="306" t="s">
        <v>669</v>
      </c>
      <c r="K294" s="304"/>
      <c r="L294" s="304"/>
      <c r="M294" s="305"/>
    </row>
    <row r="295">
      <c r="H295" s="20"/>
      <c r="I295" s="245">
        <v>30.0</v>
      </c>
      <c r="J295" s="306" t="s">
        <v>670</v>
      </c>
      <c r="K295" s="307" t="s">
        <v>661</v>
      </c>
      <c r="L295" s="304"/>
      <c r="M295" s="305"/>
    </row>
    <row r="296">
      <c r="H296" s="20"/>
      <c r="I296" s="245">
        <v>31.0</v>
      </c>
      <c r="J296" s="306" t="s">
        <v>670</v>
      </c>
      <c r="K296" s="307" t="s">
        <v>662</v>
      </c>
      <c r="L296" s="304"/>
      <c r="M296" s="305"/>
    </row>
    <row r="297">
      <c r="H297" s="20"/>
      <c r="I297" s="245">
        <v>32.0</v>
      </c>
      <c r="J297" s="306" t="s">
        <v>670</v>
      </c>
      <c r="K297" s="307" t="s">
        <v>663</v>
      </c>
      <c r="L297" s="304"/>
      <c r="M297" s="305"/>
    </row>
    <row r="298">
      <c r="H298" s="20"/>
      <c r="I298" s="245">
        <v>33.0</v>
      </c>
      <c r="J298" s="306" t="s">
        <v>670</v>
      </c>
      <c r="K298" s="307" t="s">
        <v>663</v>
      </c>
      <c r="L298" s="304"/>
      <c r="M298" s="305"/>
    </row>
    <row r="299">
      <c r="H299" s="20"/>
      <c r="I299" s="245">
        <v>34.0</v>
      </c>
      <c r="J299" s="306" t="s">
        <v>670</v>
      </c>
      <c r="K299" s="304"/>
      <c r="L299" s="304"/>
      <c r="M299" s="305"/>
    </row>
    <row r="300">
      <c r="H300" s="20"/>
      <c r="I300" s="245">
        <v>35.0</v>
      </c>
      <c r="J300" s="306" t="s">
        <v>671</v>
      </c>
      <c r="K300" s="307" t="s">
        <v>661</v>
      </c>
      <c r="L300" s="304"/>
      <c r="M300" s="305"/>
    </row>
    <row r="301">
      <c r="H301" s="20"/>
      <c r="I301" s="245">
        <v>36.0</v>
      </c>
      <c r="J301" s="306" t="s">
        <v>671</v>
      </c>
      <c r="K301" s="307" t="s">
        <v>662</v>
      </c>
      <c r="L301" s="304"/>
      <c r="M301" s="305"/>
    </row>
    <row r="302">
      <c r="H302" s="20"/>
      <c r="I302" s="245">
        <v>37.0</v>
      </c>
      <c r="J302" s="306" t="s">
        <v>671</v>
      </c>
      <c r="K302" s="307" t="s">
        <v>663</v>
      </c>
      <c r="L302" s="304"/>
      <c r="M302" s="305"/>
    </row>
    <row r="303">
      <c r="H303" s="20"/>
      <c r="I303" s="245">
        <v>38.0</v>
      </c>
      <c r="J303" s="306" t="s">
        <v>671</v>
      </c>
      <c r="K303" s="307" t="s">
        <v>663</v>
      </c>
      <c r="L303" s="304"/>
      <c r="M303" s="305"/>
    </row>
    <row r="304">
      <c r="H304" s="20"/>
      <c r="I304" s="245">
        <v>39.0</v>
      </c>
      <c r="J304" s="306" t="s">
        <v>671</v>
      </c>
      <c r="K304" s="304"/>
      <c r="L304" s="304"/>
      <c r="M304" s="305"/>
    </row>
    <row r="305">
      <c r="H305" s="20"/>
      <c r="I305" s="245" t="s">
        <v>659</v>
      </c>
      <c r="J305" s="303"/>
      <c r="K305" s="304"/>
      <c r="L305" s="304"/>
      <c r="M305" s="305"/>
    </row>
    <row r="306">
      <c r="H306" s="20"/>
      <c r="I306" s="245">
        <v>60.0</v>
      </c>
      <c r="J306" s="306" t="s">
        <v>672</v>
      </c>
      <c r="K306" s="307" t="s">
        <v>673</v>
      </c>
      <c r="L306" s="304"/>
      <c r="M306" s="305"/>
    </row>
    <row r="307">
      <c r="H307" s="20"/>
      <c r="I307" s="245">
        <v>61.0</v>
      </c>
      <c r="J307" s="306" t="s">
        <v>672</v>
      </c>
      <c r="K307" s="307" t="s">
        <v>674</v>
      </c>
      <c r="L307" s="304"/>
      <c r="M307" s="305"/>
    </row>
    <row r="308">
      <c r="H308" s="20"/>
      <c r="I308" s="245">
        <v>62.0</v>
      </c>
      <c r="J308" s="306" t="s">
        <v>672</v>
      </c>
      <c r="K308" s="307" t="s">
        <v>675</v>
      </c>
      <c r="L308" s="304"/>
      <c r="M308" s="305"/>
    </row>
    <row r="309">
      <c r="H309" s="20"/>
      <c r="I309" s="245">
        <v>63.0</v>
      </c>
      <c r="J309" s="306" t="s">
        <v>672</v>
      </c>
      <c r="K309" s="307" t="s">
        <v>676</v>
      </c>
      <c r="L309" s="304"/>
      <c r="M309" s="305"/>
    </row>
    <row r="310">
      <c r="H310" s="20"/>
      <c r="I310" s="245">
        <v>64.0</v>
      </c>
      <c r="J310" s="306" t="s">
        <v>672</v>
      </c>
      <c r="K310" s="307" t="s">
        <v>677</v>
      </c>
      <c r="L310" s="304"/>
      <c r="M310" s="305"/>
    </row>
    <row r="311">
      <c r="H311" s="20"/>
      <c r="I311" s="245">
        <v>65.0</v>
      </c>
      <c r="J311" s="306" t="s">
        <v>672</v>
      </c>
      <c r="K311" s="307" t="s">
        <v>300</v>
      </c>
      <c r="L311" s="304"/>
      <c r="M311" s="305"/>
    </row>
    <row r="312">
      <c r="H312" s="20"/>
      <c r="I312" s="245">
        <v>66.0</v>
      </c>
      <c r="J312" s="306" t="s">
        <v>672</v>
      </c>
      <c r="K312" s="307" t="s">
        <v>300</v>
      </c>
      <c r="L312" s="304"/>
      <c r="M312" s="305"/>
    </row>
    <row r="313">
      <c r="H313" s="20"/>
      <c r="I313" s="245">
        <v>67.0</v>
      </c>
      <c r="J313" s="306" t="s">
        <v>672</v>
      </c>
      <c r="K313" s="307" t="s">
        <v>300</v>
      </c>
      <c r="L313" s="304"/>
      <c r="M313" s="305"/>
    </row>
    <row r="314">
      <c r="H314" s="20"/>
      <c r="I314" s="245">
        <v>68.0</v>
      </c>
      <c r="J314" s="306" t="s">
        <v>672</v>
      </c>
      <c r="K314" s="307" t="s">
        <v>300</v>
      </c>
      <c r="L314" s="304"/>
      <c r="M314" s="305"/>
    </row>
    <row r="315">
      <c r="H315" s="20"/>
      <c r="I315" s="245">
        <v>69.0</v>
      </c>
      <c r="J315" s="306" t="s">
        <v>672</v>
      </c>
      <c r="K315" s="307" t="s">
        <v>300</v>
      </c>
      <c r="L315" s="304"/>
      <c r="M315" s="305"/>
    </row>
    <row r="316">
      <c r="H316" s="20"/>
      <c r="I316" s="245">
        <v>70.0</v>
      </c>
      <c r="J316" s="306" t="s">
        <v>678</v>
      </c>
      <c r="K316" s="307" t="s">
        <v>673</v>
      </c>
      <c r="L316" s="304"/>
      <c r="M316" s="305"/>
    </row>
    <row r="317">
      <c r="H317" s="20"/>
      <c r="I317" s="245">
        <v>71.0</v>
      </c>
      <c r="J317" s="306" t="s">
        <v>678</v>
      </c>
      <c r="K317" s="307" t="s">
        <v>674</v>
      </c>
      <c r="L317" s="304"/>
      <c r="M317" s="305"/>
    </row>
    <row r="318">
      <c r="H318" s="20"/>
      <c r="I318" s="245">
        <v>72.0</v>
      </c>
      <c r="J318" s="306" t="s">
        <v>678</v>
      </c>
      <c r="K318" s="307" t="s">
        <v>675</v>
      </c>
      <c r="L318" s="304"/>
      <c r="M318" s="305"/>
    </row>
    <row r="319">
      <c r="H319" s="20"/>
      <c r="I319" s="245">
        <v>73.0</v>
      </c>
      <c r="J319" s="306" t="s">
        <v>678</v>
      </c>
      <c r="K319" s="307" t="s">
        <v>676</v>
      </c>
      <c r="L319" s="304"/>
      <c r="M319" s="305"/>
    </row>
    <row r="320">
      <c r="H320" s="20"/>
      <c r="I320" s="245">
        <v>74.0</v>
      </c>
      <c r="J320" s="306" t="s">
        <v>678</v>
      </c>
      <c r="K320" s="307" t="s">
        <v>677</v>
      </c>
      <c r="L320" s="304"/>
      <c r="M320" s="305"/>
    </row>
    <row r="321">
      <c r="H321" s="20"/>
      <c r="I321" s="245">
        <v>75.0</v>
      </c>
      <c r="J321" s="306" t="s">
        <v>678</v>
      </c>
      <c r="K321" s="307" t="s">
        <v>300</v>
      </c>
      <c r="L321" s="304"/>
      <c r="M321" s="305"/>
    </row>
    <row r="322">
      <c r="H322" s="20"/>
      <c r="I322" s="245">
        <v>76.0</v>
      </c>
      <c r="J322" s="306" t="s">
        <v>678</v>
      </c>
      <c r="K322" s="307" t="s">
        <v>300</v>
      </c>
      <c r="L322" s="304"/>
      <c r="M322" s="305"/>
    </row>
    <row r="323">
      <c r="H323" s="20"/>
      <c r="I323" s="245">
        <v>77.0</v>
      </c>
      <c r="J323" s="306" t="s">
        <v>678</v>
      </c>
      <c r="K323" s="307" t="s">
        <v>300</v>
      </c>
      <c r="L323" s="304"/>
      <c r="M323" s="305"/>
    </row>
    <row r="324">
      <c r="H324" s="20"/>
      <c r="I324" s="245">
        <v>78.0</v>
      </c>
      <c r="J324" s="306" t="s">
        <v>678</v>
      </c>
      <c r="K324" s="307" t="s">
        <v>300</v>
      </c>
      <c r="L324" s="304"/>
      <c r="M324" s="305"/>
    </row>
    <row r="325">
      <c r="H325" s="20"/>
      <c r="I325" s="245">
        <v>79.0</v>
      </c>
      <c r="J325" s="306" t="s">
        <v>678</v>
      </c>
      <c r="K325" s="307" t="s">
        <v>300</v>
      </c>
      <c r="L325" s="304"/>
      <c r="M325" s="305"/>
    </row>
    <row r="326">
      <c r="H326" s="20"/>
      <c r="I326" s="245">
        <v>80.0</v>
      </c>
      <c r="J326" s="306" t="s">
        <v>679</v>
      </c>
      <c r="K326" s="307" t="s">
        <v>673</v>
      </c>
      <c r="L326" s="304"/>
      <c r="M326" s="305"/>
    </row>
    <row r="327">
      <c r="H327" s="20"/>
      <c r="I327" s="245">
        <v>81.0</v>
      </c>
      <c r="J327" s="306" t="s">
        <v>679</v>
      </c>
      <c r="K327" s="307" t="s">
        <v>674</v>
      </c>
      <c r="L327" s="304"/>
      <c r="M327" s="305"/>
    </row>
    <row r="328">
      <c r="H328" s="20"/>
      <c r="I328" s="245">
        <v>82.0</v>
      </c>
      <c r="J328" s="306" t="s">
        <v>679</v>
      </c>
      <c r="K328" s="307" t="s">
        <v>675</v>
      </c>
      <c r="L328" s="304"/>
      <c r="M328" s="305"/>
    </row>
    <row r="329">
      <c r="H329" s="20"/>
      <c r="I329" s="245">
        <v>83.0</v>
      </c>
      <c r="J329" s="306" t="s">
        <v>679</v>
      </c>
      <c r="K329" s="307" t="s">
        <v>676</v>
      </c>
      <c r="L329" s="304"/>
      <c r="M329" s="305"/>
    </row>
    <row r="330">
      <c r="H330" s="20"/>
      <c r="I330" s="245">
        <v>84.0</v>
      </c>
      <c r="J330" s="306" t="s">
        <v>679</v>
      </c>
      <c r="K330" s="307" t="s">
        <v>677</v>
      </c>
      <c r="L330" s="304"/>
      <c r="M330" s="305"/>
    </row>
    <row r="331">
      <c r="H331" s="20"/>
      <c r="I331" s="245">
        <v>85.0</v>
      </c>
      <c r="J331" s="306" t="s">
        <v>679</v>
      </c>
      <c r="K331" s="307" t="s">
        <v>300</v>
      </c>
      <c r="L331" s="304"/>
      <c r="M331" s="305"/>
    </row>
    <row r="332">
      <c r="H332" s="20"/>
      <c r="I332" s="245">
        <v>86.0</v>
      </c>
      <c r="J332" s="306" t="s">
        <v>679</v>
      </c>
      <c r="K332" s="307" t="s">
        <v>300</v>
      </c>
      <c r="L332" s="304"/>
      <c r="M332" s="305"/>
    </row>
    <row r="333">
      <c r="H333" s="20"/>
      <c r="I333" s="245">
        <v>87.0</v>
      </c>
      <c r="J333" s="306" t="s">
        <v>679</v>
      </c>
      <c r="K333" s="307" t="s">
        <v>300</v>
      </c>
      <c r="L333" s="304"/>
      <c r="M333" s="305"/>
    </row>
    <row r="334">
      <c r="H334" s="20"/>
      <c r="I334" s="245">
        <v>88.0</v>
      </c>
      <c r="J334" s="306" t="s">
        <v>679</v>
      </c>
      <c r="K334" s="307" t="s">
        <v>300</v>
      </c>
      <c r="L334" s="304"/>
      <c r="M334" s="305"/>
    </row>
    <row r="335">
      <c r="H335" s="20"/>
      <c r="I335" s="245">
        <v>89.0</v>
      </c>
      <c r="J335" s="306" t="s">
        <v>679</v>
      </c>
      <c r="K335" s="307" t="s">
        <v>300</v>
      </c>
      <c r="L335" s="304"/>
      <c r="M335" s="305"/>
    </row>
    <row r="336">
      <c r="H336" s="20"/>
      <c r="I336" s="245">
        <v>90.0</v>
      </c>
      <c r="J336" s="306" t="s">
        <v>679</v>
      </c>
      <c r="K336" s="304"/>
      <c r="L336" s="304"/>
      <c r="M336" s="305"/>
    </row>
    <row r="337">
      <c r="H337" s="20"/>
      <c r="I337" s="245"/>
      <c r="J337" s="306"/>
      <c r="K337" s="304"/>
      <c r="L337" s="304"/>
      <c r="M337" s="305"/>
    </row>
    <row r="338">
      <c r="H338" s="20"/>
      <c r="I338" s="245">
        <v>100.0</v>
      </c>
      <c r="J338" s="306" t="s">
        <v>680</v>
      </c>
      <c r="K338" s="304"/>
      <c r="L338" s="304"/>
      <c r="M338" s="305"/>
    </row>
    <row r="339">
      <c r="H339" s="20"/>
      <c r="I339" s="245">
        <v>101.0</v>
      </c>
      <c r="J339" s="306" t="s">
        <v>681</v>
      </c>
      <c r="K339" s="304"/>
      <c r="L339" s="304"/>
      <c r="M339" s="305"/>
    </row>
    <row r="340">
      <c r="H340" s="20"/>
      <c r="I340" s="246"/>
      <c r="J340" s="308"/>
      <c r="K340" s="304"/>
      <c r="L340" s="304"/>
      <c r="M340" s="305"/>
    </row>
    <row r="341">
      <c r="H341" s="20"/>
      <c r="I341" s="245">
        <v>200.0</v>
      </c>
      <c r="J341" s="306" t="s">
        <v>682</v>
      </c>
      <c r="K341" s="307" t="s">
        <v>683</v>
      </c>
      <c r="L341" s="304"/>
      <c r="M341" s="305"/>
    </row>
    <row r="342">
      <c r="H342" s="20"/>
      <c r="I342" s="245">
        <v>201.0</v>
      </c>
      <c r="J342" s="306" t="s">
        <v>684</v>
      </c>
      <c r="K342" s="307" t="s">
        <v>683</v>
      </c>
      <c r="L342" s="304"/>
      <c r="M342" s="305"/>
    </row>
    <row r="343">
      <c r="H343" s="20"/>
      <c r="I343" s="245">
        <v>202.0</v>
      </c>
      <c r="J343" s="306" t="s">
        <v>685</v>
      </c>
      <c r="K343" s="307" t="s">
        <v>683</v>
      </c>
      <c r="L343" s="304"/>
      <c r="M343" s="305"/>
    </row>
    <row r="344">
      <c r="H344" s="20"/>
      <c r="I344" s="245">
        <v>203.0</v>
      </c>
      <c r="J344" s="306" t="s">
        <v>686</v>
      </c>
      <c r="K344" s="307" t="s">
        <v>687</v>
      </c>
      <c r="L344" s="304"/>
      <c r="M344" s="305"/>
    </row>
    <row r="345">
      <c r="H345" s="20"/>
      <c r="I345" s="245">
        <v>204.0</v>
      </c>
      <c r="J345" s="306" t="s">
        <v>688</v>
      </c>
      <c r="K345" s="307" t="s">
        <v>689</v>
      </c>
      <c r="L345" s="304"/>
      <c r="M345" s="305"/>
    </row>
    <row r="346">
      <c r="H346" s="20"/>
      <c r="I346" s="246"/>
      <c r="J346" s="308"/>
      <c r="K346" s="304"/>
      <c r="L346" s="304"/>
      <c r="M346" s="305"/>
    </row>
    <row r="347">
      <c r="H347" s="20"/>
      <c r="I347" s="246"/>
      <c r="J347" s="308"/>
      <c r="K347" s="304"/>
      <c r="L347" s="304"/>
      <c r="M347" s="305"/>
    </row>
    <row r="348">
      <c r="H348" s="20"/>
      <c r="I348" s="245">
        <v>300.0</v>
      </c>
      <c r="J348" s="306" t="s">
        <v>690</v>
      </c>
      <c r="K348" s="304"/>
      <c r="L348" s="304"/>
      <c r="M348" s="305"/>
    </row>
    <row r="349">
      <c r="H349" s="20"/>
      <c r="I349" s="245">
        <v>301.0</v>
      </c>
      <c r="J349" s="306" t="s">
        <v>691</v>
      </c>
      <c r="K349" s="304"/>
      <c r="L349" s="304"/>
      <c r="M349" s="305"/>
    </row>
    <row r="350">
      <c r="H350" s="20"/>
      <c r="I350" s="245">
        <v>302.0</v>
      </c>
      <c r="J350" s="306" t="s">
        <v>692</v>
      </c>
      <c r="K350" s="304"/>
      <c r="L350" s="304"/>
      <c r="M350" s="305"/>
    </row>
    <row r="351">
      <c r="H351" s="20"/>
      <c r="I351" s="245">
        <v>303.0</v>
      </c>
      <c r="J351" s="306" t="s">
        <v>693</v>
      </c>
      <c r="K351" s="304"/>
      <c r="L351" s="304"/>
      <c r="M351" s="305"/>
    </row>
    <row r="352">
      <c r="H352" s="20"/>
      <c r="I352" s="245">
        <v>304.0</v>
      </c>
      <c r="J352" s="306" t="s">
        <v>694</v>
      </c>
      <c r="K352" s="304"/>
      <c r="L352" s="304"/>
      <c r="M352" s="305"/>
    </row>
    <row r="353">
      <c r="H353" s="20"/>
      <c r="I353" s="245">
        <v>305.0</v>
      </c>
      <c r="J353" s="306" t="s">
        <v>695</v>
      </c>
      <c r="K353" s="304"/>
      <c r="L353" s="304"/>
      <c r="M353" s="305"/>
    </row>
    <row r="354">
      <c r="H354" s="20"/>
      <c r="I354" s="245">
        <v>306.0</v>
      </c>
      <c r="J354" s="306" t="s">
        <v>696</v>
      </c>
      <c r="K354" s="304"/>
      <c r="L354" s="307" t="s">
        <v>697</v>
      </c>
      <c r="M354" s="305"/>
    </row>
    <row r="355">
      <c r="H355" s="20"/>
      <c r="I355" s="245">
        <v>307.0</v>
      </c>
      <c r="J355" s="306" t="s">
        <v>698</v>
      </c>
      <c r="K355" s="304"/>
      <c r="L355" s="304"/>
      <c r="M355" s="305"/>
    </row>
    <row r="356">
      <c r="H356" s="20"/>
      <c r="I356" s="245">
        <v>308.0</v>
      </c>
      <c r="J356" s="306" t="s">
        <v>699</v>
      </c>
      <c r="K356" s="304"/>
      <c r="L356" s="304"/>
      <c r="M356" s="305"/>
    </row>
    <row r="357">
      <c r="H357" s="20"/>
      <c r="I357" s="245">
        <v>309.0</v>
      </c>
      <c r="J357" s="306" t="s">
        <v>700</v>
      </c>
      <c r="K357" s="304"/>
      <c r="L357" s="304"/>
      <c r="M357" s="305"/>
    </row>
    <row r="358">
      <c r="H358" s="20"/>
      <c r="I358" s="245">
        <v>310.0</v>
      </c>
      <c r="J358" s="306" t="s">
        <v>701</v>
      </c>
      <c r="K358" s="304"/>
      <c r="L358" s="304"/>
      <c r="M358" s="305"/>
    </row>
    <row r="359">
      <c r="H359" s="20"/>
      <c r="I359" s="245">
        <v>311.0</v>
      </c>
      <c r="J359" s="306" t="s">
        <v>702</v>
      </c>
      <c r="K359" s="304"/>
      <c r="L359" s="304"/>
      <c r="M359" s="305"/>
    </row>
    <row r="360">
      <c r="H360" s="20"/>
      <c r="I360" s="245">
        <v>312.0</v>
      </c>
      <c r="J360" s="306" t="s">
        <v>703</v>
      </c>
      <c r="K360" s="304"/>
      <c r="L360" s="304"/>
      <c r="M360" s="305"/>
    </row>
    <row r="361">
      <c r="H361" s="20"/>
      <c r="I361" s="245">
        <v>313.0</v>
      </c>
      <c r="J361" s="306" t="s">
        <v>704</v>
      </c>
      <c r="K361" s="304"/>
      <c r="L361" s="304"/>
      <c r="M361" s="305"/>
    </row>
    <row r="362">
      <c r="H362" s="20"/>
      <c r="I362" s="245">
        <v>314.0</v>
      </c>
      <c r="J362" s="306" t="s">
        <v>698</v>
      </c>
      <c r="K362" s="304"/>
      <c r="L362" s="304"/>
      <c r="M362" s="305"/>
    </row>
    <row r="363">
      <c r="H363" s="20"/>
      <c r="I363" s="245">
        <v>315.0</v>
      </c>
      <c r="J363" s="306" t="s">
        <v>705</v>
      </c>
      <c r="K363" s="304"/>
      <c r="L363" s="307" t="s">
        <v>706</v>
      </c>
      <c r="M363" s="305"/>
    </row>
    <row r="364">
      <c r="H364" s="20"/>
      <c r="I364" s="245">
        <v>316.0</v>
      </c>
      <c r="J364" s="306" t="s">
        <v>707</v>
      </c>
      <c r="K364" s="304"/>
      <c r="L364" s="304"/>
      <c r="M364" s="305"/>
    </row>
    <row r="365">
      <c r="H365" s="20"/>
      <c r="I365" s="245">
        <v>317.0</v>
      </c>
      <c r="J365" s="309" t="s">
        <v>708</v>
      </c>
      <c r="K365" s="304"/>
      <c r="L365" s="304"/>
      <c r="M365" s="305"/>
    </row>
    <row r="366">
      <c r="H366" s="20"/>
      <c r="I366" s="245">
        <v>318.0</v>
      </c>
      <c r="J366" s="306" t="s">
        <v>709</v>
      </c>
      <c r="K366" s="304"/>
      <c r="L366" s="304"/>
      <c r="M366" s="305"/>
    </row>
    <row r="367">
      <c r="H367" s="20"/>
      <c r="I367" s="245">
        <v>319.0</v>
      </c>
      <c r="J367" s="306" t="s">
        <v>710</v>
      </c>
      <c r="K367" s="304"/>
      <c r="L367" s="304"/>
      <c r="M367" s="305"/>
    </row>
    <row r="368">
      <c r="H368" s="20"/>
      <c r="I368" s="245">
        <v>320.0</v>
      </c>
      <c r="J368" s="306" t="s">
        <v>711</v>
      </c>
      <c r="K368" s="304"/>
      <c r="L368" s="304"/>
      <c r="M368" s="305"/>
    </row>
    <row r="369">
      <c r="H369" s="20"/>
      <c r="I369" s="245">
        <v>321.0</v>
      </c>
      <c r="J369" s="306" t="s">
        <v>712</v>
      </c>
      <c r="K369" s="304"/>
      <c r="L369" s="304"/>
      <c r="M369" s="305"/>
    </row>
    <row r="370">
      <c r="H370" s="20"/>
      <c r="I370" s="246"/>
      <c r="J370" s="308"/>
      <c r="K370" s="304"/>
      <c r="L370" s="304"/>
      <c r="M370" s="305"/>
    </row>
    <row r="371">
      <c r="H371" s="20"/>
      <c r="I371" s="245">
        <v>400.0</v>
      </c>
      <c r="J371" s="306" t="s">
        <v>713</v>
      </c>
      <c r="K371" s="304"/>
      <c r="L371" s="307" t="s">
        <v>714</v>
      </c>
      <c r="M371" s="305"/>
    </row>
    <row r="372">
      <c r="H372" s="20"/>
      <c r="I372" s="245">
        <v>401.0</v>
      </c>
      <c r="J372" s="306" t="s">
        <v>715</v>
      </c>
      <c r="K372" s="304"/>
      <c r="L372" s="304"/>
      <c r="M372" s="305"/>
    </row>
    <row r="373">
      <c r="H373" s="20"/>
      <c r="I373" s="245">
        <v>402.0</v>
      </c>
      <c r="J373" s="306" t="s">
        <v>716</v>
      </c>
      <c r="K373" s="304"/>
      <c r="L373" s="304"/>
      <c r="M373" s="305"/>
    </row>
    <row r="374">
      <c r="H374" s="20"/>
      <c r="I374" s="245">
        <v>403.0</v>
      </c>
      <c r="J374" s="306" t="s">
        <v>717</v>
      </c>
      <c r="K374" s="304"/>
      <c r="L374" s="304"/>
      <c r="M374" s="305"/>
    </row>
    <row r="375">
      <c r="H375" s="20"/>
      <c r="I375" s="245">
        <v>404.0</v>
      </c>
      <c r="J375" s="306" t="s">
        <v>718</v>
      </c>
      <c r="K375" s="304"/>
      <c r="L375" s="304"/>
      <c r="M375" s="305"/>
    </row>
    <row r="376">
      <c r="H376" s="20"/>
      <c r="I376" s="245">
        <v>405.0</v>
      </c>
      <c r="J376" s="306" t="s">
        <v>719</v>
      </c>
      <c r="K376" s="304"/>
      <c r="L376" s="304"/>
      <c r="M376" s="305"/>
    </row>
    <row r="377">
      <c r="H377" s="20"/>
      <c r="I377" s="245">
        <v>406.0</v>
      </c>
      <c r="J377" s="306" t="s">
        <v>720</v>
      </c>
      <c r="K377" s="304"/>
      <c r="L377" s="304"/>
      <c r="M377" s="305"/>
    </row>
    <row r="378">
      <c r="H378" s="20"/>
      <c r="I378" s="245">
        <v>407.0</v>
      </c>
      <c r="J378" s="306" t="s">
        <v>721</v>
      </c>
      <c r="K378" s="304"/>
      <c r="L378" s="307" t="s">
        <v>722</v>
      </c>
      <c r="M378" s="305"/>
    </row>
    <row r="379">
      <c r="H379" s="20"/>
      <c r="I379" s="245">
        <v>408.0</v>
      </c>
      <c r="J379" s="308"/>
      <c r="K379" s="304"/>
      <c r="L379" s="304"/>
      <c r="M379" s="305"/>
    </row>
    <row r="380">
      <c r="H380" s="20"/>
      <c r="I380" s="245">
        <v>409.0</v>
      </c>
      <c r="J380" s="306" t="s">
        <v>723</v>
      </c>
      <c r="K380" s="304"/>
      <c r="L380" s="304"/>
      <c r="M380" s="305"/>
    </row>
    <row r="381">
      <c r="H381" s="20"/>
      <c r="I381" s="264">
        <v>410.0</v>
      </c>
      <c r="J381" s="306" t="s">
        <v>724</v>
      </c>
      <c r="K381" s="304"/>
      <c r="L381" s="304"/>
      <c r="M381" s="305"/>
    </row>
    <row r="382">
      <c r="H382" s="20"/>
      <c r="I382" s="245">
        <v>500.0</v>
      </c>
      <c r="J382" s="306" t="s">
        <v>725</v>
      </c>
      <c r="K382" s="304"/>
      <c r="L382" s="304"/>
      <c r="M382" s="305"/>
    </row>
    <row r="383">
      <c r="H383" s="20"/>
      <c r="I383" s="245">
        <v>501.0</v>
      </c>
      <c r="J383" s="306" t="s">
        <v>726</v>
      </c>
      <c r="K383" s="304"/>
      <c r="L383" s="304"/>
      <c r="M383" s="305"/>
    </row>
    <row r="384">
      <c r="H384" s="20"/>
      <c r="I384" s="245">
        <v>502.0</v>
      </c>
      <c r="J384" s="306" t="s">
        <v>727</v>
      </c>
      <c r="K384" s="304"/>
      <c r="L384" s="304"/>
      <c r="M384" s="305"/>
    </row>
    <row r="385">
      <c r="H385" s="20"/>
      <c r="I385" s="245">
        <v>503.0</v>
      </c>
      <c r="J385" s="306" t="s">
        <v>728</v>
      </c>
      <c r="K385" s="304"/>
      <c r="L385" s="304"/>
      <c r="M385" s="305"/>
    </row>
    <row r="386">
      <c r="H386" s="20"/>
      <c r="I386" s="245">
        <v>504.0</v>
      </c>
      <c r="J386" s="306" t="s">
        <v>729</v>
      </c>
      <c r="K386" s="304"/>
      <c r="L386" s="304"/>
      <c r="M386" s="305"/>
    </row>
    <row r="387">
      <c r="H387" s="20"/>
      <c r="I387" s="245">
        <v>505.0</v>
      </c>
      <c r="J387" s="306" t="s">
        <v>730</v>
      </c>
      <c r="K387" s="304"/>
      <c r="L387" s="304"/>
      <c r="M387" s="305"/>
    </row>
    <row r="388">
      <c r="H388" s="20"/>
      <c r="I388" s="245">
        <v>510.0</v>
      </c>
      <c r="J388" s="306" t="s">
        <v>731</v>
      </c>
      <c r="K388" s="307" t="s">
        <v>189</v>
      </c>
      <c r="L388" s="304"/>
      <c r="M388" s="305"/>
    </row>
    <row r="389">
      <c r="H389" s="20"/>
      <c r="I389" s="245">
        <v>511.0</v>
      </c>
      <c r="J389" s="306" t="s">
        <v>732</v>
      </c>
      <c r="K389" s="307" t="s">
        <v>189</v>
      </c>
      <c r="L389" s="304"/>
      <c r="M389" s="305"/>
    </row>
    <row r="390">
      <c r="H390" s="20"/>
      <c r="I390" s="245">
        <v>512.0</v>
      </c>
      <c r="J390" s="306" t="s">
        <v>733</v>
      </c>
      <c r="K390" s="307" t="s">
        <v>189</v>
      </c>
      <c r="L390" s="304"/>
      <c r="M390" s="305"/>
    </row>
    <row r="391">
      <c r="H391" s="20"/>
      <c r="I391" s="245">
        <v>513.0</v>
      </c>
      <c r="J391" s="306" t="s">
        <v>734</v>
      </c>
      <c r="K391" s="254"/>
      <c r="L391" s="304"/>
      <c r="M391" s="305"/>
    </row>
    <row r="392">
      <c r="H392" s="20"/>
      <c r="I392" s="245">
        <v>514.0</v>
      </c>
      <c r="J392" s="306" t="s">
        <v>735</v>
      </c>
      <c r="K392" s="254"/>
      <c r="L392" s="304"/>
      <c r="M392" s="305"/>
    </row>
    <row r="393">
      <c r="H393" s="20"/>
      <c r="I393" s="245">
        <v>515.0</v>
      </c>
      <c r="J393" s="306" t="s">
        <v>736</v>
      </c>
      <c r="K393" s="254"/>
      <c r="L393" s="304"/>
      <c r="M393" s="305"/>
    </row>
    <row r="394">
      <c r="H394" s="20"/>
      <c r="I394" s="307">
        <v>516.0</v>
      </c>
      <c r="J394" s="306" t="s">
        <v>737</v>
      </c>
      <c r="K394" s="254"/>
      <c r="L394" s="304"/>
      <c r="M394" s="305"/>
    </row>
    <row r="395">
      <c r="H395" s="20"/>
      <c r="I395" s="264">
        <v>517.0</v>
      </c>
      <c r="J395" s="309" t="s">
        <v>738</v>
      </c>
      <c r="K395" s="310"/>
      <c r="L395" s="304"/>
      <c r="M395" s="305"/>
    </row>
    <row r="396">
      <c r="H396" s="20"/>
      <c r="I396" s="264">
        <v>520.0</v>
      </c>
      <c r="J396" s="309" t="s">
        <v>739</v>
      </c>
      <c r="K396" s="254"/>
      <c r="L396" s="304"/>
      <c r="M396" s="305"/>
    </row>
    <row r="397">
      <c r="H397" s="20"/>
      <c r="I397" s="264">
        <v>530.0</v>
      </c>
      <c r="J397" s="309" t="s">
        <v>740</v>
      </c>
      <c r="K397" s="254"/>
      <c r="L397" s="304"/>
      <c r="M397" s="305"/>
    </row>
    <row r="398">
      <c r="H398" s="20"/>
      <c r="I398" s="254"/>
      <c r="J398" s="303"/>
      <c r="K398" s="254"/>
      <c r="L398" s="304"/>
      <c r="M398" s="305"/>
    </row>
    <row r="399">
      <c r="H399" s="20"/>
      <c r="I399" s="245">
        <v>600.0</v>
      </c>
      <c r="J399" s="306" t="s">
        <v>741</v>
      </c>
      <c r="K399" s="307" t="s">
        <v>742</v>
      </c>
      <c r="L399" s="304"/>
      <c r="M399" s="305"/>
    </row>
    <row r="400">
      <c r="H400" s="20"/>
      <c r="I400" s="245">
        <v>601.0</v>
      </c>
      <c r="J400" s="306" t="s">
        <v>743</v>
      </c>
      <c r="K400" s="307" t="s">
        <v>744</v>
      </c>
      <c r="L400" s="304"/>
      <c r="M400" s="305"/>
    </row>
    <row r="401">
      <c r="H401" s="20"/>
      <c r="I401" s="245">
        <v>602.0</v>
      </c>
      <c r="J401" s="306" t="s">
        <v>745</v>
      </c>
      <c r="K401" s="307" t="s">
        <v>746</v>
      </c>
      <c r="L401" s="304"/>
      <c r="M401" s="305"/>
    </row>
    <row r="402">
      <c r="H402" s="20"/>
      <c r="I402" s="245">
        <v>603.0</v>
      </c>
      <c r="J402" s="306" t="s">
        <v>747</v>
      </c>
      <c r="K402" s="304"/>
      <c r="L402" s="304"/>
      <c r="M402" s="305"/>
    </row>
    <row r="403">
      <c r="H403" s="20"/>
      <c r="I403" s="307">
        <v>604.0</v>
      </c>
      <c r="J403" s="306" t="s">
        <v>748</v>
      </c>
      <c r="K403" s="254"/>
      <c r="L403" s="304"/>
      <c r="M403" s="305"/>
    </row>
    <row r="404">
      <c r="H404" s="20"/>
      <c r="I404" s="304"/>
      <c r="J404" s="311"/>
      <c r="K404" s="254"/>
      <c r="L404" s="304"/>
      <c r="M404" s="305"/>
    </row>
    <row r="405">
      <c r="H405" s="20"/>
      <c r="I405" s="245">
        <v>610.0</v>
      </c>
      <c r="J405" s="306" t="s">
        <v>749</v>
      </c>
      <c r="K405" s="304"/>
      <c r="L405" s="304"/>
      <c r="M405" s="305"/>
    </row>
    <row r="406">
      <c r="H406" s="20"/>
      <c r="I406" s="246"/>
      <c r="J406" s="308"/>
      <c r="K406" s="304"/>
      <c r="L406" s="304"/>
      <c r="M406" s="305"/>
    </row>
    <row r="407" ht="13.5" customHeight="1">
      <c r="H407" s="20"/>
      <c r="I407" s="312"/>
      <c r="J407" s="313"/>
      <c r="K407" s="312"/>
      <c r="L407" s="310"/>
      <c r="M407" s="314"/>
    </row>
    <row r="408">
      <c r="H408" s="20"/>
      <c r="I408" s="307">
        <v>700.0</v>
      </c>
      <c r="J408" s="306" t="s">
        <v>750</v>
      </c>
      <c r="K408" s="254"/>
      <c r="L408" s="254"/>
      <c r="M408" s="221"/>
    </row>
    <row r="409">
      <c r="H409" s="20"/>
      <c r="I409" s="307">
        <v>701.0</v>
      </c>
      <c r="J409" s="306" t="s">
        <v>751</v>
      </c>
      <c r="K409" s="254"/>
      <c r="L409" s="254"/>
      <c r="M409" s="221"/>
    </row>
    <row r="410">
      <c r="H410" s="20"/>
      <c r="I410" s="307">
        <v>702.0</v>
      </c>
      <c r="J410" s="306" t="s">
        <v>752</v>
      </c>
      <c r="K410" s="254"/>
      <c r="L410" s="254"/>
      <c r="M410" s="221"/>
    </row>
    <row r="411">
      <c r="H411" s="20"/>
      <c r="I411" s="307">
        <v>703.0</v>
      </c>
      <c r="J411" s="306"/>
      <c r="K411" s="254"/>
      <c r="L411" s="254"/>
      <c r="M411" s="221"/>
    </row>
    <row r="412">
      <c r="H412" s="20"/>
      <c r="I412" s="307">
        <v>705.0</v>
      </c>
      <c r="J412" s="306" t="s">
        <v>753</v>
      </c>
      <c r="K412" s="254"/>
      <c r="L412" s="254"/>
      <c r="M412" s="221"/>
    </row>
    <row r="413">
      <c r="H413" s="20"/>
      <c r="I413" s="307">
        <v>706.0</v>
      </c>
      <c r="J413" s="306" t="s">
        <v>754</v>
      </c>
      <c r="K413" s="254"/>
      <c r="L413" s="254"/>
      <c r="M413" s="221"/>
    </row>
    <row r="414">
      <c r="H414" s="20"/>
      <c r="I414" s="307">
        <v>707.0</v>
      </c>
      <c r="J414" s="306" t="s">
        <v>755</v>
      </c>
      <c r="K414" s="254"/>
      <c r="L414" s="254"/>
      <c r="M414" s="221"/>
    </row>
    <row r="415">
      <c r="H415" s="20"/>
      <c r="I415" s="307">
        <v>708.0</v>
      </c>
      <c r="J415" s="306" t="s">
        <v>756</v>
      </c>
      <c r="K415" s="254"/>
      <c r="L415" s="254"/>
      <c r="M415" s="221"/>
    </row>
    <row r="416">
      <c r="H416" s="20"/>
      <c r="I416" s="264">
        <v>709.0</v>
      </c>
      <c r="J416" s="309" t="s">
        <v>757</v>
      </c>
      <c r="K416" s="254"/>
      <c r="L416" s="254"/>
      <c r="M416" s="221"/>
    </row>
    <row r="417">
      <c r="H417" s="20"/>
      <c r="I417" s="264">
        <v>710.0</v>
      </c>
      <c r="J417" s="309" t="s">
        <v>758</v>
      </c>
      <c r="K417" s="254"/>
      <c r="L417" s="254"/>
      <c r="M417" s="221"/>
    </row>
    <row r="418">
      <c r="H418" s="20"/>
      <c r="I418" s="254"/>
      <c r="J418" s="303"/>
      <c r="K418" s="254"/>
      <c r="L418" s="254"/>
      <c r="M418" s="221"/>
    </row>
    <row r="419">
      <c r="H419" s="20"/>
      <c r="I419" s="307">
        <v>800.0</v>
      </c>
      <c r="J419" s="309" t="s">
        <v>759</v>
      </c>
      <c r="K419" s="254"/>
      <c r="L419" s="254"/>
      <c r="M419" s="221"/>
    </row>
    <row r="420">
      <c r="H420" s="20"/>
      <c r="I420" s="254"/>
      <c r="J420" s="303"/>
      <c r="K420" s="254"/>
      <c r="L420" s="254"/>
      <c r="M420" s="221"/>
    </row>
    <row r="421">
      <c r="H421" s="20"/>
      <c r="I421" s="254"/>
      <c r="J421" s="303"/>
      <c r="K421" s="254"/>
      <c r="L421" s="254"/>
      <c r="M421" s="221"/>
    </row>
    <row r="422">
      <c r="H422" s="20"/>
      <c r="I422" s="264">
        <v>850.0</v>
      </c>
      <c r="J422" s="309" t="s">
        <v>760</v>
      </c>
      <c r="K422" s="254"/>
      <c r="L422" s="254"/>
      <c r="M422" s="221"/>
    </row>
    <row r="423">
      <c r="H423" s="20"/>
      <c r="I423" s="264">
        <v>851.0</v>
      </c>
      <c r="J423" s="309" t="s">
        <v>761</v>
      </c>
      <c r="K423" s="254"/>
      <c r="L423" s="254"/>
      <c r="M423" s="221"/>
    </row>
    <row r="424">
      <c r="H424" s="20"/>
      <c r="I424" s="264">
        <v>852.0</v>
      </c>
      <c r="J424" s="309" t="s">
        <v>762</v>
      </c>
      <c r="K424" s="254"/>
      <c r="L424" s="254"/>
      <c r="M424" s="221"/>
    </row>
    <row r="425">
      <c r="H425" s="20"/>
      <c r="I425" s="310"/>
      <c r="J425" s="303"/>
      <c r="K425" s="254"/>
      <c r="L425" s="254"/>
      <c r="M425" s="221"/>
    </row>
    <row r="426">
      <c r="H426" s="20"/>
      <c r="I426" s="264">
        <v>860.0</v>
      </c>
      <c r="J426" s="309" t="s">
        <v>763</v>
      </c>
      <c r="K426" s="254"/>
      <c r="L426" s="254"/>
      <c r="M426" s="221"/>
    </row>
    <row r="427">
      <c r="H427" s="20"/>
      <c r="I427" s="264">
        <v>861.0</v>
      </c>
      <c r="J427" s="309" t="s">
        <v>764</v>
      </c>
      <c r="K427" s="254"/>
      <c r="L427" s="254"/>
      <c r="M427" s="221"/>
    </row>
    <row r="428">
      <c r="H428" s="20"/>
      <c r="I428" s="264">
        <v>862.0</v>
      </c>
      <c r="J428" s="309" t="s">
        <v>765</v>
      </c>
      <c r="K428" s="254"/>
      <c r="L428" s="254"/>
      <c r="M428" s="221"/>
    </row>
    <row r="429">
      <c r="H429" s="20"/>
      <c r="I429" s="264">
        <v>863.0</v>
      </c>
      <c r="J429" s="309" t="s">
        <v>766</v>
      </c>
      <c r="K429" s="254"/>
      <c r="L429" s="254"/>
      <c r="M429" s="221"/>
    </row>
    <row r="430">
      <c r="H430" s="20"/>
      <c r="I430" s="264">
        <v>865.0</v>
      </c>
      <c r="J430" s="315" t="s">
        <v>767</v>
      </c>
      <c r="K430" s="254"/>
      <c r="L430" s="254"/>
      <c r="M430" s="221"/>
    </row>
    <row r="431">
      <c r="H431" s="20"/>
      <c r="I431" s="264">
        <v>866.0</v>
      </c>
      <c r="J431" s="309" t="s">
        <v>768</v>
      </c>
      <c r="K431" s="254"/>
      <c r="L431" s="254"/>
      <c r="M431" s="221"/>
    </row>
    <row r="432">
      <c r="H432" s="20"/>
      <c r="I432" s="264">
        <v>867.0</v>
      </c>
      <c r="J432" s="315" t="s">
        <v>769</v>
      </c>
      <c r="K432" s="254"/>
      <c r="L432" s="254"/>
      <c r="M432" s="221"/>
    </row>
    <row r="433">
      <c r="H433" s="20"/>
      <c r="I433" s="264">
        <v>868.0</v>
      </c>
      <c r="J433" s="315" t="s">
        <v>770</v>
      </c>
      <c r="K433" s="254"/>
      <c r="L433" s="254"/>
      <c r="M433" s="221"/>
    </row>
    <row r="434">
      <c r="H434" s="20"/>
      <c r="I434" s="264"/>
      <c r="J434" s="309"/>
      <c r="K434" s="254"/>
      <c r="L434" s="254"/>
      <c r="M434" s="221"/>
    </row>
    <row r="435">
      <c r="H435" s="20"/>
      <c r="I435" s="264" t="s">
        <v>771</v>
      </c>
      <c r="J435" s="309" t="s">
        <v>772</v>
      </c>
      <c r="K435" s="254"/>
      <c r="L435" s="254"/>
      <c r="M435" s="221"/>
    </row>
    <row r="436">
      <c r="H436" s="20"/>
      <c r="I436" s="254"/>
      <c r="J436" s="303"/>
      <c r="K436" s="254"/>
      <c r="L436" s="254"/>
      <c r="M436" s="221"/>
    </row>
    <row r="437">
      <c r="H437" s="20"/>
      <c r="I437" s="254"/>
      <c r="J437" s="303"/>
      <c r="K437" s="254"/>
      <c r="L437" s="254"/>
      <c r="M437" s="221"/>
    </row>
    <row r="438">
      <c r="H438" s="20"/>
      <c r="I438" s="257">
        <v>1200.0</v>
      </c>
      <c r="J438" s="309" t="s">
        <v>773</v>
      </c>
      <c r="K438" s="254"/>
      <c r="L438" s="254"/>
      <c r="M438" s="221"/>
    </row>
    <row r="439">
      <c r="H439" s="20"/>
      <c r="I439" s="257" t="s">
        <v>659</v>
      </c>
      <c r="J439" s="309" t="s">
        <v>659</v>
      </c>
      <c r="K439" s="254"/>
      <c r="L439" s="254"/>
      <c r="M439" s="221"/>
    </row>
    <row r="440">
      <c r="H440" s="20"/>
      <c r="I440" s="257">
        <v>1207.0</v>
      </c>
      <c r="J440" s="309" t="s">
        <v>774</v>
      </c>
      <c r="K440" s="254"/>
      <c r="L440" s="254"/>
      <c r="M440" s="221"/>
    </row>
    <row r="441">
      <c r="H441" s="20"/>
      <c r="I441" s="257">
        <v>1208.0</v>
      </c>
      <c r="J441" s="309" t="s">
        <v>775</v>
      </c>
      <c r="K441" s="254"/>
      <c r="L441" s="254"/>
      <c r="M441" s="221"/>
    </row>
    <row r="442">
      <c r="H442" s="20"/>
      <c r="I442" s="257">
        <v>1209.0</v>
      </c>
      <c r="J442" s="309" t="s">
        <v>776</v>
      </c>
      <c r="K442" s="254"/>
      <c r="L442" s="254"/>
      <c r="M442" s="221"/>
    </row>
    <row r="443">
      <c r="H443" s="20"/>
      <c r="I443" s="254"/>
      <c r="J443" s="303"/>
      <c r="K443" s="254"/>
      <c r="L443" s="254"/>
      <c r="M443" s="221"/>
    </row>
    <row r="444">
      <c r="H444" s="20"/>
      <c r="I444" s="257">
        <v>1210.0</v>
      </c>
      <c r="J444" s="309" t="s">
        <v>777</v>
      </c>
      <c r="K444" s="254"/>
      <c r="L444" s="254"/>
      <c r="M444" s="221"/>
    </row>
    <row r="445">
      <c r="H445" s="20"/>
      <c r="I445" s="257">
        <v>1211.0</v>
      </c>
      <c r="J445" s="309" t="s">
        <v>778</v>
      </c>
      <c r="K445" s="254"/>
      <c r="L445" s="254"/>
      <c r="M445" s="221"/>
    </row>
    <row r="446">
      <c r="H446" s="20"/>
      <c r="I446" s="257">
        <v>1212.0</v>
      </c>
      <c r="J446" s="309" t="s">
        <v>779</v>
      </c>
      <c r="K446" s="254"/>
      <c r="L446" s="254"/>
      <c r="M446" s="221"/>
    </row>
    <row r="447">
      <c r="H447" s="20"/>
      <c r="I447" s="257">
        <v>1213.0</v>
      </c>
      <c r="J447" s="309" t="s">
        <v>780</v>
      </c>
      <c r="K447" s="254"/>
      <c r="L447" s="254"/>
      <c r="M447" s="221"/>
    </row>
    <row r="448">
      <c r="H448" s="20"/>
      <c r="I448" s="254"/>
      <c r="J448" s="303"/>
      <c r="K448" s="254"/>
      <c r="L448" s="254"/>
      <c r="M448" s="221"/>
    </row>
    <row r="449">
      <c r="H449" s="20"/>
      <c r="I449" s="254"/>
      <c r="J449" s="303"/>
      <c r="K449" s="254"/>
      <c r="L449" s="254"/>
      <c r="M449" s="221"/>
    </row>
    <row r="450">
      <c r="H450" s="20"/>
      <c r="I450" s="257" t="s">
        <v>781</v>
      </c>
      <c r="J450" s="309" t="s">
        <v>782</v>
      </c>
      <c r="K450" s="254"/>
      <c r="L450" s="254"/>
      <c r="M450" s="221"/>
    </row>
    <row r="451">
      <c r="H451" s="20"/>
      <c r="I451" s="254"/>
      <c r="J451" s="303"/>
      <c r="K451" s="254"/>
      <c r="L451" s="254"/>
      <c r="M451" s="221"/>
    </row>
    <row r="452">
      <c r="H452" s="20"/>
      <c r="I452" s="254"/>
      <c r="J452" s="303"/>
      <c r="K452" s="254"/>
      <c r="L452" s="254"/>
      <c r="M452" s="221"/>
    </row>
    <row r="453">
      <c r="H453" s="20"/>
      <c r="I453" s="257" t="s">
        <v>783</v>
      </c>
      <c r="J453" s="309" t="s">
        <v>784</v>
      </c>
      <c r="K453" s="254"/>
      <c r="L453" s="254"/>
      <c r="M453" s="221"/>
    </row>
    <row r="454">
      <c r="H454" s="20"/>
      <c r="I454" s="257" t="s">
        <v>785</v>
      </c>
      <c r="J454" s="309" t="s">
        <v>786</v>
      </c>
      <c r="K454" s="254"/>
      <c r="L454" s="254"/>
      <c r="M454" s="221"/>
    </row>
    <row r="455">
      <c r="H455" s="20"/>
      <c r="I455" s="257" t="s">
        <v>787</v>
      </c>
      <c r="J455" s="309" t="s">
        <v>788</v>
      </c>
      <c r="K455" s="254"/>
      <c r="L455" s="254"/>
      <c r="M455" s="221"/>
    </row>
    <row r="456">
      <c r="H456" s="20"/>
      <c r="I456" s="257" t="s">
        <v>789</v>
      </c>
      <c r="J456" s="309" t="s">
        <v>790</v>
      </c>
      <c r="K456" s="254"/>
      <c r="L456" s="254"/>
      <c r="M456" s="221"/>
    </row>
    <row r="457">
      <c r="H457" s="20"/>
      <c r="I457" s="230"/>
      <c r="J457" s="221"/>
      <c r="K457" s="221"/>
      <c r="L457" s="316"/>
      <c r="M457" s="221"/>
    </row>
    <row r="458">
      <c r="H458" s="20"/>
      <c r="I458" s="230"/>
      <c r="J458" s="221"/>
      <c r="K458" s="221"/>
      <c r="L458" s="316"/>
      <c r="M458" s="221"/>
    </row>
    <row r="459">
      <c r="H459" s="20"/>
      <c r="I459" s="230"/>
      <c r="J459" s="221"/>
      <c r="K459" s="221"/>
      <c r="L459" s="316"/>
      <c r="M459" s="221"/>
    </row>
    <row r="460">
      <c r="H460" s="20"/>
      <c r="I460" s="230"/>
      <c r="J460" s="221"/>
      <c r="K460" s="221"/>
      <c r="L460" s="316"/>
      <c r="M460" s="221"/>
    </row>
    <row r="461">
      <c r="H461" s="20"/>
      <c r="I461" s="230"/>
      <c r="J461" s="221"/>
      <c r="K461" s="221"/>
      <c r="L461" s="316"/>
      <c r="M461" s="221"/>
    </row>
    <row r="462">
      <c r="H462" s="20"/>
      <c r="I462" s="230"/>
      <c r="J462" s="221"/>
      <c r="K462" s="221"/>
      <c r="L462" s="316"/>
      <c r="M462" s="221"/>
    </row>
    <row r="463">
      <c r="H463" s="20"/>
      <c r="I463" s="230"/>
      <c r="J463" s="221"/>
      <c r="K463" s="221"/>
      <c r="L463" s="316"/>
      <c r="M463" s="221"/>
    </row>
    <row r="464">
      <c r="H464" s="20"/>
      <c r="I464" s="230"/>
      <c r="J464" s="221"/>
      <c r="K464" s="221"/>
      <c r="L464" s="316"/>
      <c r="M464" s="221"/>
    </row>
    <row r="465">
      <c r="H465" s="20"/>
      <c r="I465" s="230"/>
      <c r="J465" s="221"/>
      <c r="K465" s="221"/>
      <c r="L465" s="316"/>
      <c r="M465" s="221"/>
    </row>
    <row r="466">
      <c r="H466" s="20"/>
      <c r="I466" s="230"/>
      <c r="J466" s="221"/>
      <c r="K466" s="221"/>
      <c r="L466" s="316"/>
      <c r="M466" s="221"/>
    </row>
    <row r="467">
      <c r="H467" s="20"/>
      <c r="I467" s="230"/>
      <c r="J467" s="221"/>
      <c r="K467" s="221"/>
      <c r="L467" s="316"/>
      <c r="M467" s="221"/>
    </row>
    <row r="468">
      <c r="H468" s="20"/>
      <c r="I468" s="230"/>
      <c r="J468" s="221"/>
      <c r="K468" s="221"/>
      <c r="L468" s="316"/>
      <c r="M468" s="221"/>
    </row>
    <row r="469">
      <c r="H469" s="20"/>
      <c r="I469" s="230"/>
      <c r="J469" s="221"/>
      <c r="K469" s="221"/>
      <c r="L469" s="316"/>
      <c r="M469" s="221"/>
    </row>
    <row r="470">
      <c r="H470" s="20"/>
      <c r="I470" s="230"/>
      <c r="J470" s="221"/>
      <c r="K470" s="221"/>
      <c r="L470" s="316"/>
      <c r="M470" s="221"/>
    </row>
    <row r="471">
      <c r="H471" s="20"/>
      <c r="I471" s="230"/>
      <c r="J471" s="221"/>
      <c r="K471" s="221"/>
      <c r="L471" s="316"/>
      <c r="M471" s="221"/>
    </row>
    <row r="472">
      <c r="H472" s="20"/>
      <c r="I472" s="230"/>
      <c r="J472" s="221"/>
      <c r="K472" s="221"/>
      <c r="L472" s="316"/>
      <c r="M472" s="221"/>
    </row>
    <row r="473" ht="70.5" customHeight="1">
      <c r="H473" s="20"/>
      <c r="I473" s="317"/>
      <c r="J473" s="318"/>
      <c r="K473" s="318"/>
      <c r="L473" s="319"/>
      <c r="M473" s="221"/>
    </row>
    <row r="474">
      <c r="H474" s="20"/>
      <c r="I474" s="320" t="s">
        <v>791</v>
      </c>
      <c r="J474" s="320" t="s">
        <v>792</v>
      </c>
      <c r="K474" s="313"/>
      <c r="L474" s="313"/>
      <c r="M474" s="321"/>
    </row>
    <row r="475">
      <c r="H475" s="20"/>
      <c r="I475" s="322" t="s">
        <v>793</v>
      </c>
      <c r="J475" s="322" t="s">
        <v>794</v>
      </c>
      <c r="K475" s="322" t="s">
        <v>795</v>
      </c>
      <c r="L475" s="322" t="s">
        <v>796</v>
      </c>
      <c r="M475" s="323"/>
    </row>
    <row r="476">
      <c r="H476" s="20"/>
      <c r="I476" s="324">
        <v>0.0</v>
      </c>
      <c r="J476" s="309" t="s">
        <v>797</v>
      </c>
      <c r="K476" s="325" t="s">
        <v>798</v>
      </c>
      <c r="L476" s="325" t="s">
        <v>799</v>
      </c>
      <c r="M476" s="326"/>
    </row>
    <row r="477">
      <c r="H477" s="20"/>
      <c r="I477" s="264">
        <v>1.0</v>
      </c>
      <c r="J477" s="309" t="s">
        <v>800</v>
      </c>
      <c r="K477" s="325" t="s">
        <v>801</v>
      </c>
      <c r="L477" s="325" t="s">
        <v>802</v>
      </c>
      <c r="M477" s="326"/>
    </row>
    <row r="478">
      <c r="H478" s="20"/>
      <c r="I478" s="264">
        <v>2.0</v>
      </c>
      <c r="J478" s="309" t="s">
        <v>803</v>
      </c>
      <c r="K478" s="325" t="s">
        <v>801</v>
      </c>
      <c r="L478" s="325" t="s">
        <v>802</v>
      </c>
      <c r="M478" s="326"/>
    </row>
    <row r="479">
      <c r="H479" s="20"/>
      <c r="I479" s="264">
        <v>3.0</v>
      </c>
      <c r="J479" s="306" t="s">
        <v>804</v>
      </c>
      <c r="K479" s="327" t="s">
        <v>805</v>
      </c>
      <c r="L479" s="327" t="s">
        <v>806</v>
      </c>
      <c r="M479" s="328"/>
    </row>
    <row r="480">
      <c r="H480" s="20"/>
      <c r="I480" s="264">
        <v>4.0</v>
      </c>
      <c r="J480" s="309" t="s">
        <v>807</v>
      </c>
      <c r="K480" s="325" t="s">
        <v>808</v>
      </c>
      <c r="L480" s="325" t="s">
        <v>802</v>
      </c>
      <c r="M480" s="326"/>
    </row>
    <row r="481">
      <c r="H481" s="20"/>
      <c r="I481" s="264">
        <v>5.0</v>
      </c>
      <c r="J481" s="309" t="s">
        <v>809</v>
      </c>
      <c r="K481" s="325" t="s">
        <v>810</v>
      </c>
      <c r="L481" s="325" t="s">
        <v>802</v>
      </c>
      <c r="M481" s="326"/>
    </row>
    <row r="482">
      <c r="H482" s="20"/>
      <c r="I482" s="264">
        <v>6.0</v>
      </c>
      <c r="J482" s="309" t="s">
        <v>811</v>
      </c>
      <c r="K482" s="325" t="s">
        <v>812</v>
      </c>
      <c r="L482" s="325" t="s">
        <v>802</v>
      </c>
      <c r="M482" s="326"/>
    </row>
    <row r="483">
      <c r="H483" s="20"/>
      <c r="I483" s="264">
        <v>7.0</v>
      </c>
      <c r="J483" s="309" t="s">
        <v>813</v>
      </c>
      <c r="K483" s="325" t="s">
        <v>814</v>
      </c>
      <c r="L483" s="325" t="s">
        <v>815</v>
      </c>
      <c r="M483" s="326"/>
    </row>
    <row r="484">
      <c r="H484" s="20"/>
      <c r="I484" s="264">
        <v>8.0</v>
      </c>
      <c r="J484" s="309" t="s">
        <v>816</v>
      </c>
      <c r="K484" s="325" t="s">
        <v>801</v>
      </c>
      <c r="L484" s="325" t="s">
        <v>802</v>
      </c>
      <c r="M484" s="326"/>
    </row>
    <row r="485">
      <c r="H485" s="20"/>
      <c r="I485" s="264">
        <v>9.0</v>
      </c>
      <c r="J485" s="309" t="s">
        <v>817</v>
      </c>
      <c r="K485" s="325" t="s">
        <v>805</v>
      </c>
      <c r="L485" s="325" t="s">
        <v>806</v>
      </c>
      <c r="M485" s="326"/>
    </row>
    <row r="486">
      <c r="H486" s="20"/>
      <c r="I486" s="264">
        <v>10.0</v>
      </c>
      <c r="J486" s="309" t="s">
        <v>818</v>
      </c>
      <c r="K486" s="325" t="s">
        <v>819</v>
      </c>
      <c r="L486" s="325" t="s">
        <v>820</v>
      </c>
      <c r="M486" s="326"/>
    </row>
    <row r="487">
      <c r="H487" s="20"/>
      <c r="I487" s="264">
        <v>11.0</v>
      </c>
      <c r="J487" s="309" t="s">
        <v>821</v>
      </c>
      <c r="K487" s="325" t="s">
        <v>822</v>
      </c>
      <c r="L487" s="325" t="s">
        <v>802</v>
      </c>
      <c r="M487" s="326"/>
    </row>
    <row r="488">
      <c r="H488" s="20"/>
      <c r="I488" s="264">
        <v>12.0</v>
      </c>
      <c r="J488" s="309" t="s">
        <v>823</v>
      </c>
      <c r="K488" s="327" t="s">
        <v>824</v>
      </c>
      <c r="L488" s="329"/>
      <c r="M488" s="330"/>
    </row>
    <row r="489">
      <c r="H489" s="20"/>
      <c r="I489" s="264">
        <v>13.0</v>
      </c>
      <c r="J489" s="309" t="s">
        <v>825</v>
      </c>
      <c r="K489" s="325" t="s">
        <v>826</v>
      </c>
      <c r="L489" s="311"/>
      <c r="M489" s="331"/>
    </row>
    <row r="490">
      <c r="A490" s="221"/>
      <c r="B490" s="232"/>
      <c r="C490" s="232"/>
      <c r="D490" s="232"/>
      <c r="E490" s="232"/>
      <c r="F490" s="232"/>
      <c r="G490" s="232"/>
      <c r="H490" s="316"/>
      <c r="I490" s="264">
        <v>14.0</v>
      </c>
      <c r="J490" s="303"/>
      <c r="K490" s="311"/>
      <c r="L490" s="311"/>
      <c r="M490" s="331"/>
    </row>
    <row r="491">
      <c r="A491" s="221"/>
      <c r="B491" s="232"/>
      <c r="C491" s="232"/>
      <c r="D491" s="232"/>
      <c r="E491" s="232"/>
      <c r="F491" s="232"/>
      <c r="G491" s="232"/>
      <c r="H491" s="316"/>
      <c r="I491" s="264">
        <v>15.0</v>
      </c>
      <c r="J491" s="303"/>
      <c r="K491" s="311"/>
      <c r="L491" s="311"/>
      <c r="M491" s="331"/>
    </row>
    <row r="492">
      <c r="A492" s="221"/>
      <c r="B492" s="232"/>
      <c r="C492" s="232"/>
      <c r="D492" s="232"/>
      <c r="E492" s="232"/>
      <c r="F492" s="232"/>
      <c r="G492" s="232"/>
      <c r="H492" s="316"/>
      <c r="I492" s="264">
        <v>16.0</v>
      </c>
      <c r="J492" s="309" t="s">
        <v>827</v>
      </c>
      <c r="K492" s="325" t="s">
        <v>812</v>
      </c>
      <c r="L492" s="325" t="s">
        <v>802</v>
      </c>
      <c r="M492" s="326"/>
    </row>
    <row r="493">
      <c r="A493" s="221"/>
      <c r="B493" s="232"/>
      <c r="C493" s="232"/>
      <c r="D493" s="232"/>
      <c r="E493" s="232"/>
      <c r="F493" s="232"/>
      <c r="G493" s="232"/>
      <c r="H493" s="316"/>
      <c r="I493" s="264">
        <v>17.0</v>
      </c>
      <c r="J493" s="309" t="s">
        <v>828</v>
      </c>
      <c r="K493" s="325" t="s">
        <v>814</v>
      </c>
      <c r="L493" s="325" t="s">
        <v>815</v>
      </c>
      <c r="M493" s="326"/>
    </row>
    <row r="494">
      <c r="A494" s="221"/>
      <c r="B494" s="232"/>
      <c r="C494" s="232"/>
      <c r="D494" s="232"/>
      <c r="E494" s="232"/>
      <c r="F494" s="232"/>
      <c r="G494" s="232"/>
      <c r="H494" s="316"/>
      <c r="I494" s="264">
        <v>18.0</v>
      </c>
      <c r="J494" s="309" t="s">
        <v>829</v>
      </c>
      <c r="K494" s="325" t="s">
        <v>801</v>
      </c>
      <c r="L494" s="325" t="s">
        <v>802</v>
      </c>
      <c r="M494" s="326"/>
    </row>
    <row r="495">
      <c r="A495" s="221"/>
      <c r="B495" s="232"/>
      <c r="C495" s="232"/>
      <c r="D495" s="232"/>
      <c r="E495" s="232"/>
      <c r="F495" s="232"/>
      <c r="G495" s="232"/>
      <c r="H495" s="316"/>
      <c r="I495" s="264">
        <v>19.0</v>
      </c>
      <c r="J495" s="309" t="s">
        <v>300</v>
      </c>
      <c r="K495" s="311"/>
      <c r="L495" s="311"/>
      <c r="M495" s="331"/>
    </row>
    <row r="496">
      <c r="A496" s="221"/>
      <c r="B496" s="232"/>
      <c r="C496" s="232"/>
      <c r="D496" s="232"/>
      <c r="E496" s="232"/>
      <c r="F496" s="232"/>
      <c r="G496" s="232"/>
      <c r="H496" s="316"/>
      <c r="I496" s="264">
        <v>20.0</v>
      </c>
      <c r="J496" s="309" t="s">
        <v>300</v>
      </c>
      <c r="K496" s="311"/>
      <c r="L496" s="311"/>
      <c r="M496" s="331"/>
    </row>
    <row r="497">
      <c r="A497" s="221"/>
      <c r="B497" s="232"/>
      <c r="C497" s="232"/>
      <c r="D497" s="232"/>
      <c r="E497" s="232"/>
      <c r="F497" s="232"/>
      <c r="G497" s="232"/>
      <c r="H497" s="316"/>
      <c r="I497" s="264">
        <v>21.0</v>
      </c>
      <c r="J497" s="309" t="s">
        <v>300</v>
      </c>
      <c r="K497" s="311"/>
      <c r="L497" s="311"/>
      <c r="M497" s="331"/>
    </row>
    <row r="498">
      <c r="A498" s="221"/>
      <c r="B498" s="232"/>
      <c r="C498" s="232"/>
      <c r="D498" s="232"/>
      <c r="E498" s="232"/>
      <c r="F498" s="232"/>
      <c r="G498" s="232"/>
      <c r="H498" s="316"/>
      <c r="I498" s="264">
        <v>22.0</v>
      </c>
      <c r="J498" s="309" t="s">
        <v>300</v>
      </c>
      <c r="K498" s="311"/>
      <c r="L498" s="311"/>
      <c r="M498" s="331"/>
    </row>
    <row r="499">
      <c r="A499" s="221"/>
      <c r="B499" s="232"/>
      <c r="C499" s="232"/>
      <c r="D499" s="232"/>
      <c r="E499" s="232"/>
      <c r="F499" s="232"/>
      <c r="G499" s="232"/>
      <c r="H499" s="316"/>
      <c r="I499" s="264">
        <v>23.0</v>
      </c>
      <c r="J499" s="309" t="s">
        <v>300</v>
      </c>
      <c r="K499" s="311"/>
      <c r="L499" s="311"/>
      <c r="M499" s="331"/>
    </row>
    <row r="500">
      <c r="A500" s="221"/>
      <c r="B500" s="232"/>
      <c r="C500" s="232"/>
      <c r="D500" s="232"/>
      <c r="E500" s="232"/>
      <c r="F500" s="232"/>
      <c r="G500" s="232"/>
      <c r="H500" s="316"/>
      <c r="I500" s="264">
        <v>24.0</v>
      </c>
      <c r="J500" s="309" t="s">
        <v>300</v>
      </c>
      <c r="K500" s="311"/>
      <c r="L500" s="311"/>
      <c r="M500" s="331"/>
    </row>
    <row r="501">
      <c r="A501" s="221"/>
      <c r="B501" s="232"/>
      <c r="C501" s="232"/>
      <c r="D501" s="232"/>
      <c r="E501" s="232"/>
      <c r="F501" s="232"/>
      <c r="G501" s="232"/>
      <c r="H501" s="316"/>
      <c r="I501" s="264">
        <v>25.0</v>
      </c>
      <c r="J501" s="309" t="s">
        <v>300</v>
      </c>
      <c r="K501" s="311"/>
      <c r="L501" s="311"/>
      <c r="M501" s="331"/>
    </row>
    <row r="502">
      <c r="A502" s="221"/>
      <c r="B502" s="232"/>
      <c r="C502" s="232"/>
      <c r="D502" s="232"/>
      <c r="E502" s="232"/>
      <c r="F502" s="232"/>
      <c r="G502" s="232"/>
      <c r="H502" s="316"/>
      <c r="I502" s="264">
        <v>26.0</v>
      </c>
      <c r="J502" s="309" t="s">
        <v>300</v>
      </c>
      <c r="K502" s="311"/>
      <c r="L502" s="311"/>
      <c r="M502" s="331"/>
    </row>
    <row r="503">
      <c r="A503" s="221"/>
      <c r="B503" s="232"/>
      <c r="C503" s="232"/>
      <c r="D503" s="232"/>
      <c r="E503" s="232"/>
      <c r="F503" s="232"/>
      <c r="G503" s="232"/>
      <c r="H503" s="316"/>
      <c r="I503" s="264">
        <v>27.0</v>
      </c>
      <c r="J503" s="309" t="s">
        <v>300</v>
      </c>
      <c r="K503" s="311"/>
      <c r="L503" s="311"/>
      <c r="M503" s="331"/>
    </row>
    <row r="504">
      <c r="A504" s="221"/>
      <c r="B504" s="232"/>
      <c r="C504" s="232"/>
      <c r="D504" s="232"/>
      <c r="E504" s="232"/>
      <c r="F504" s="232"/>
      <c r="G504" s="232"/>
      <c r="H504" s="316"/>
      <c r="I504" s="264">
        <v>28.0</v>
      </c>
      <c r="J504" s="309" t="s">
        <v>300</v>
      </c>
      <c r="K504" s="311"/>
      <c r="L504" s="311"/>
      <c r="M504" s="331"/>
    </row>
    <row r="505">
      <c r="A505" s="221"/>
      <c r="B505" s="232"/>
      <c r="C505" s="232"/>
      <c r="D505" s="232"/>
      <c r="E505" s="232"/>
      <c r="F505" s="232"/>
      <c r="G505" s="232"/>
      <c r="H505" s="316"/>
      <c r="I505" s="264">
        <v>29.0</v>
      </c>
      <c r="J505" s="309" t="s">
        <v>300</v>
      </c>
      <c r="K505" s="311"/>
      <c r="L505" s="311"/>
      <c r="M505" s="331"/>
    </row>
    <row r="506">
      <c r="A506" s="221"/>
      <c r="B506" s="232"/>
      <c r="C506" s="232"/>
      <c r="D506" s="232"/>
      <c r="E506" s="232"/>
      <c r="F506" s="232"/>
      <c r="G506" s="232"/>
      <c r="H506" s="316"/>
      <c r="I506" s="264">
        <v>30.0</v>
      </c>
      <c r="J506" s="309" t="s">
        <v>300</v>
      </c>
      <c r="K506" s="311"/>
      <c r="L506" s="311"/>
      <c r="M506" s="331"/>
    </row>
    <row r="507">
      <c r="A507" s="221"/>
      <c r="B507" s="232"/>
      <c r="C507" s="232"/>
      <c r="D507" s="232"/>
      <c r="E507" s="232"/>
      <c r="F507" s="232"/>
      <c r="G507" s="232"/>
      <c r="H507" s="316"/>
      <c r="I507" s="264">
        <v>31.0</v>
      </c>
      <c r="J507" s="309" t="s">
        <v>300</v>
      </c>
      <c r="K507" s="311"/>
      <c r="L507" s="329"/>
      <c r="M507" s="330"/>
    </row>
    <row r="508">
      <c r="A508" s="221"/>
      <c r="B508" s="232"/>
      <c r="C508" s="232"/>
      <c r="D508" s="232"/>
      <c r="E508" s="232"/>
      <c r="F508" s="232"/>
      <c r="G508" s="232"/>
      <c r="H508" s="316"/>
      <c r="I508" s="310"/>
      <c r="J508" s="303"/>
      <c r="K508" s="311"/>
      <c r="L508" s="329"/>
      <c r="M508" s="330"/>
    </row>
    <row r="509">
      <c r="A509" s="221"/>
      <c r="B509" s="232"/>
      <c r="C509" s="232"/>
      <c r="D509" s="232"/>
      <c r="E509" s="232"/>
      <c r="F509" s="232"/>
      <c r="G509" s="232"/>
      <c r="H509" s="316"/>
      <c r="I509" s="310"/>
      <c r="J509" s="303"/>
      <c r="K509" s="311"/>
      <c r="L509" s="329"/>
      <c r="M509" s="330"/>
    </row>
    <row r="510">
      <c r="A510" s="221"/>
      <c r="B510" s="232"/>
      <c r="C510" s="232"/>
      <c r="D510" s="232"/>
      <c r="E510" s="232"/>
      <c r="F510" s="232"/>
      <c r="G510" s="232"/>
      <c r="H510" s="316"/>
      <c r="I510" s="310"/>
      <c r="J510" s="303"/>
      <c r="K510" s="311"/>
      <c r="L510" s="329"/>
      <c r="M510" s="330"/>
    </row>
    <row r="511">
      <c r="A511" s="221"/>
      <c r="B511" s="232"/>
      <c r="C511" s="232"/>
      <c r="D511" s="232"/>
      <c r="E511" s="232"/>
      <c r="F511" s="232"/>
      <c r="G511" s="232"/>
      <c r="H511" s="316"/>
      <c r="I511" s="310"/>
      <c r="J511" s="303"/>
      <c r="K511" s="311"/>
      <c r="L511" s="329"/>
      <c r="M511" s="330"/>
    </row>
    <row r="512">
      <c r="A512" s="221"/>
      <c r="B512" s="232"/>
      <c r="C512" s="232"/>
      <c r="D512" s="232"/>
      <c r="E512" s="232"/>
      <c r="F512" s="232"/>
      <c r="G512" s="232"/>
      <c r="H512" s="316"/>
      <c r="I512" s="310"/>
      <c r="J512" s="303"/>
      <c r="K512" s="311"/>
      <c r="L512" s="329"/>
      <c r="M512" s="330"/>
    </row>
    <row r="513">
      <c r="A513" s="221"/>
      <c r="B513" s="232"/>
      <c r="C513" s="232"/>
      <c r="D513" s="232"/>
      <c r="E513" s="232"/>
      <c r="F513" s="232"/>
      <c r="G513" s="232"/>
      <c r="H513" s="316"/>
      <c r="I513" s="310"/>
      <c r="J513" s="303"/>
      <c r="K513" s="311"/>
      <c r="L513" s="329"/>
      <c r="M513" s="330"/>
    </row>
    <row r="514">
      <c r="A514" s="221"/>
      <c r="B514" s="232"/>
      <c r="C514" s="232"/>
      <c r="D514" s="232"/>
      <c r="E514" s="232"/>
      <c r="F514" s="232"/>
      <c r="G514" s="232"/>
      <c r="H514" s="316"/>
      <c r="I514" s="310"/>
      <c r="J514" s="303"/>
      <c r="K514" s="311"/>
      <c r="L514" s="329"/>
      <c r="M514" s="330"/>
    </row>
    <row r="515">
      <c r="A515" s="221"/>
      <c r="B515" s="232"/>
      <c r="C515" s="232"/>
      <c r="D515" s="232"/>
      <c r="E515" s="232"/>
      <c r="F515" s="232"/>
      <c r="G515" s="232"/>
      <c r="H515" s="316"/>
      <c r="I515" s="310"/>
      <c r="J515" s="303"/>
      <c r="K515" s="311"/>
      <c r="L515" s="329"/>
      <c r="M515" s="330"/>
    </row>
    <row r="516">
      <c r="A516" s="221"/>
      <c r="B516" s="232"/>
      <c r="C516" s="232"/>
      <c r="D516" s="232"/>
      <c r="E516" s="232"/>
      <c r="F516" s="232"/>
      <c r="G516" s="232"/>
      <c r="H516" s="316"/>
      <c r="I516" s="310"/>
      <c r="J516" s="303"/>
      <c r="K516" s="311"/>
      <c r="L516" s="329"/>
      <c r="M516" s="330"/>
    </row>
    <row r="517">
      <c r="A517" s="221"/>
      <c r="B517" s="232"/>
      <c r="C517" s="232"/>
      <c r="D517" s="232"/>
      <c r="E517" s="232"/>
      <c r="F517" s="232"/>
      <c r="G517" s="232"/>
      <c r="H517" s="316"/>
      <c r="I517" s="310"/>
      <c r="J517" s="303"/>
      <c r="K517" s="311"/>
      <c r="L517" s="329"/>
      <c r="M517" s="330"/>
    </row>
    <row r="518">
      <c r="A518" s="221"/>
      <c r="B518" s="232"/>
      <c r="C518" s="232"/>
      <c r="D518" s="232"/>
      <c r="E518" s="232"/>
      <c r="F518" s="232"/>
      <c r="G518" s="232"/>
      <c r="H518" s="221"/>
      <c r="I518" s="314"/>
      <c r="J518" s="332"/>
      <c r="K518" s="331"/>
      <c r="L518" s="330"/>
      <c r="M518" s="330"/>
    </row>
    <row r="519">
      <c r="A519" s="221"/>
      <c r="B519" s="232"/>
      <c r="C519" s="232"/>
      <c r="D519" s="232"/>
      <c r="E519" s="232"/>
      <c r="F519" s="232"/>
      <c r="G519" s="232"/>
      <c r="H519" s="221"/>
      <c r="I519" s="314"/>
      <c r="J519" s="332"/>
      <c r="K519" s="331"/>
      <c r="L519" s="330"/>
      <c r="M519" s="330"/>
    </row>
    <row r="520">
      <c r="A520" s="221"/>
      <c r="B520" s="232"/>
      <c r="C520" s="232"/>
      <c r="D520" s="232"/>
      <c r="E520" s="232"/>
      <c r="F520" s="232"/>
      <c r="G520" s="232"/>
      <c r="H520" s="221"/>
      <c r="I520" s="314"/>
      <c r="J520" s="332"/>
      <c r="K520" s="331"/>
      <c r="L520" s="330"/>
      <c r="M520" s="330"/>
    </row>
    <row r="521">
      <c r="A521" s="221"/>
      <c r="B521" s="221"/>
      <c r="C521" s="221"/>
      <c r="D521" s="221"/>
      <c r="E521" s="221"/>
      <c r="F521" s="221"/>
      <c r="G521" s="221"/>
      <c r="H521" s="221"/>
      <c r="I521" s="240" t="s">
        <v>830</v>
      </c>
      <c r="J521" s="6"/>
      <c r="K521" s="6"/>
      <c r="L521" s="7"/>
      <c r="M521" s="333"/>
    </row>
    <row r="522">
      <c r="A522" s="221"/>
      <c r="B522" s="221"/>
      <c r="C522" s="221"/>
      <c r="D522" s="221"/>
      <c r="E522" s="221"/>
      <c r="F522" s="221"/>
      <c r="G522" s="221"/>
      <c r="H522" s="221"/>
      <c r="I522" s="242" t="s">
        <v>831</v>
      </c>
      <c r="J522" s="242" t="s">
        <v>297</v>
      </c>
      <c r="K522" s="242" t="s">
        <v>298</v>
      </c>
      <c r="L522" s="242" t="s">
        <v>229</v>
      </c>
      <c r="M522" s="242"/>
    </row>
    <row r="523">
      <c r="A523" s="221"/>
      <c r="B523" s="221"/>
      <c r="C523" s="221"/>
      <c r="D523" s="221"/>
      <c r="E523" s="221"/>
      <c r="F523" s="221"/>
      <c r="G523" s="221"/>
      <c r="H523" s="221"/>
      <c r="I523" s="243">
        <v>0.0</v>
      </c>
      <c r="J523" s="257"/>
      <c r="K523" s="257"/>
      <c r="L523" s="244"/>
      <c r="M523" s="244"/>
    </row>
    <row r="524">
      <c r="A524" s="221"/>
      <c r="B524" s="221"/>
      <c r="C524" s="221"/>
      <c r="D524" s="221"/>
      <c r="E524" s="221"/>
      <c r="F524" s="221"/>
      <c r="G524" s="221"/>
      <c r="H524" s="221"/>
      <c r="I524" s="245">
        <v>1.0</v>
      </c>
      <c r="J524" s="257"/>
      <c r="K524" s="257"/>
      <c r="L524" s="254"/>
      <c r="M524" s="244"/>
    </row>
    <row r="525">
      <c r="A525" s="221"/>
      <c r="B525" s="221"/>
      <c r="C525" s="221"/>
      <c r="D525" s="221"/>
      <c r="E525" s="221"/>
      <c r="F525" s="221"/>
      <c r="G525" s="221"/>
      <c r="H525" s="221"/>
      <c r="I525" s="245">
        <v>2.0</v>
      </c>
      <c r="J525" s="257"/>
      <c r="K525" s="257"/>
      <c r="L525" s="254"/>
      <c r="M525" s="244"/>
    </row>
    <row r="526">
      <c r="A526" s="221"/>
      <c r="B526" s="221"/>
      <c r="C526" s="221"/>
      <c r="D526" s="221"/>
      <c r="E526" s="221"/>
      <c r="F526" s="221"/>
      <c r="G526" s="221"/>
      <c r="H526" s="221"/>
      <c r="I526" s="243">
        <v>3.0</v>
      </c>
      <c r="J526" s="257"/>
      <c r="K526" s="257"/>
      <c r="L526" s="254"/>
      <c r="M526" s="244"/>
    </row>
    <row r="527">
      <c r="A527" s="221"/>
      <c r="B527" s="221"/>
      <c r="C527" s="221"/>
      <c r="D527" s="221"/>
      <c r="E527" s="221"/>
      <c r="F527" s="221"/>
      <c r="G527" s="221"/>
      <c r="H527" s="221"/>
      <c r="I527" s="245">
        <v>4.0</v>
      </c>
      <c r="J527" s="257"/>
      <c r="K527" s="257"/>
      <c r="L527" s="244"/>
      <c r="M527" s="244"/>
    </row>
    <row r="528">
      <c r="A528" s="221"/>
      <c r="B528" s="221"/>
      <c r="C528" s="221"/>
      <c r="D528" s="221"/>
      <c r="E528" s="221"/>
      <c r="F528" s="221"/>
      <c r="G528" s="221"/>
      <c r="H528" s="221"/>
      <c r="I528" s="245">
        <v>5.0</v>
      </c>
      <c r="J528" s="257"/>
      <c r="K528" s="257"/>
      <c r="L528" s="254"/>
      <c r="M528" s="244"/>
    </row>
    <row r="529">
      <c r="A529" s="221"/>
      <c r="B529" s="221"/>
      <c r="C529" s="221"/>
      <c r="D529" s="221"/>
      <c r="E529" s="221"/>
      <c r="F529" s="221"/>
      <c r="G529" s="221"/>
      <c r="H529" s="221"/>
      <c r="I529" s="243">
        <v>6.0</v>
      </c>
      <c r="J529" s="257"/>
      <c r="K529" s="257"/>
      <c r="L529" s="254"/>
      <c r="M529" s="244"/>
    </row>
    <row r="530">
      <c r="A530" s="221"/>
      <c r="B530" s="221"/>
      <c r="C530" s="221"/>
      <c r="D530" s="221"/>
      <c r="E530" s="221"/>
      <c r="F530" s="221"/>
      <c r="G530" s="221"/>
      <c r="H530" s="221"/>
      <c r="I530" s="245">
        <v>7.0</v>
      </c>
      <c r="J530" s="257" t="s">
        <v>832</v>
      </c>
      <c r="K530" s="257"/>
      <c r="L530" s="254"/>
      <c r="M530" s="244"/>
    </row>
    <row r="531">
      <c r="A531" s="221"/>
      <c r="B531" s="221"/>
      <c r="C531" s="221"/>
      <c r="D531" s="221"/>
      <c r="E531" s="221"/>
      <c r="F531" s="221"/>
      <c r="G531" s="221"/>
      <c r="H531" s="221"/>
      <c r="I531" s="245">
        <v>8.0</v>
      </c>
      <c r="J531" s="257" t="s">
        <v>833</v>
      </c>
      <c r="K531" s="257"/>
      <c r="L531" s="244"/>
      <c r="M531" s="244"/>
    </row>
    <row r="532">
      <c r="A532" s="221"/>
      <c r="B532" s="221"/>
      <c r="C532" s="221"/>
      <c r="D532" s="221"/>
      <c r="E532" s="221"/>
      <c r="F532" s="221"/>
      <c r="G532" s="221"/>
      <c r="H532" s="221"/>
      <c r="I532" s="243">
        <v>9.0</v>
      </c>
      <c r="J532" s="257"/>
      <c r="K532" s="257"/>
      <c r="L532" s="254"/>
      <c r="M532" s="244"/>
    </row>
    <row r="533">
      <c r="A533" s="221"/>
      <c r="B533" s="221"/>
      <c r="C533" s="221"/>
      <c r="D533" s="221"/>
      <c r="E533" s="221"/>
      <c r="F533" s="221"/>
      <c r="G533" s="221"/>
      <c r="H533" s="221"/>
      <c r="I533" s="245">
        <v>10.0</v>
      </c>
      <c r="J533" s="257" t="s">
        <v>834</v>
      </c>
      <c r="K533" s="257" t="s">
        <v>835</v>
      </c>
      <c r="L533" s="254"/>
      <c r="M533" s="244" t="s">
        <v>836</v>
      </c>
    </row>
    <row r="534">
      <c r="A534" s="221"/>
      <c r="B534" s="221"/>
      <c r="C534" s="221"/>
      <c r="D534" s="221"/>
      <c r="E534" s="221"/>
      <c r="F534" s="221"/>
      <c r="G534" s="221"/>
      <c r="H534" s="221"/>
      <c r="I534" s="245">
        <v>11.0</v>
      </c>
      <c r="J534" s="257" t="s">
        <v>834</v>
      </c>
      <c r="K534" s="257" t="s">
        <v>837</v>
      </c>
      <c r="L534" s="254"/>
      <c r="M534" s="244"/>
    </row>
    <row r="535">
      <c r="A535" s="221"/>
      <c r="B535" s="221"/>
      <c r="C535" s="221"/>
      <c r="D535" s="221"/>
      <c r="E535" s="221"/>
      <c r="F535" s="221"/>
      <c r="G535" s="221"/>
      <c r="H535" s="221"/>
      <c r="I535" s="243">
        <v>12.0</v>
      </c>
      <c r="J535" s="257" t="s">
        <v>838</v>
      </c>
      <c r="K535" s="257" t="s">
        <v>839</v>
      </c>
      <c r="L535" s="244"/>
      <c r="M535" s="244" t="s">
        <v>840</v>
      </c>
    </row>
    <row r="536">
      <c r="A536" s="221"/>
      <c r="B536" s="221"/>
      <c r="C536" s="221"/>
      <c r="D536" s="221"/>
      <c r="E536" s="221"/>
      <c r="F536" s="221"/>
      <c r="G536" s="221"/>
      <c r="H536" s="221"/>
      <c r="I536" s="245">
        <v>13.0</v>
      </c>
      <c r="J536" s="257" t="s">
        <v>841</v>
      </c>
      <c r="K536" s="257" t="s">
        <v>842</v>
      </c>
      <c r="L536" s="254"/>
      <c r="M536" s="244"/>
    </row>
    <row r="537">
      <c r="A537" s="221"/>
      <c r="B537" s="221"/>
      <c r="C537" s="221"/>
      <c r="D537" s="221"/>
      <c r="E537" s="221"/>
      <c r="F537" s="221"/>
      <c r="G537" s="221"/>
      <c r="H537" s="221"/>
      <c r="I537" s="245">
        <v>14.0</v>
      </c>
      <c r="J537" s="257" t="s">
        <v>843</v>
      </c>
      <c r="K537" s="257" t="s">
        <v>844</v>
      </c>
      <c r="L537" s="254"/>
      <c r="M537" s="244"/>
    </row>
    <row r="538">
      <c r="A538" s="221"/>
      <c r="B538" s="221"/>
      <c r="C538" s="221"/>
      <c r="D538" s="221"/>
      <c r="E538" s="221"/>
      <c r="F538" s="221"/>
      <c r="G538" s="221"/>
      <c r="H538" s="221"/>
      <c r="I538" s="243">
        <v>15.0</v>
      </c>
      <c r="J538" s="257"/>
      <c r="K538" s="257"/>
      <c r="L538" s="254"/>
      <c r="M538" s="244"/>
    </row>
    <row r="539">
      <c r="A539" s="221"/>
      <c r="B539" s="232"/>
      <c r="C539" s="232"/>
      <c r="D539" s="232"/>
      <c r="E539" s="232"/>
      <c r="F539" s="232"/>
      <c r="G539" s="232"/>
      <c r="H539" s="221"/>
      <c r="I539" s="264">
        <v>30.0</v>
      </c>
      <c r="J539" s="303"/>
      <c r="K539" s="311"/>
      <c r="L539" s="329"/>
      <c r="M539" s="329"/>
    </row>
    <row r="540">
      <c r="A540" s="334"/>
      <c r="B540" s="335"/>
      <c r="C540" s="335"/>
      <c r="D540" s="335"/>
      <c r="E540" s="335"/>
      <c r="F540" s="335"/>
      <c r="G540" s="335"/>
      <c r="H540" s="336"/>
      <c r="I540" s="278">
        <v>33.0</v>
      </c>
      <c r="J540" s="277" t="s">
        <v>845</v>
      </c>
      <c r="K540" s="277" t="s">
        <v>846</v>
      </c>
      <c r="L540" s="337" t="s">
        <v>847</v>
      </c>
      <c r="M540" s="281"/>
    </row>
    <row r="541">
      <c r="A541" s="334"/>
      <c r="B541" s="335"/>
      <c r="C541" s="335"/>
      <c r="D541" s="335"/>
      <c r="E541" s="335"/>
      <c r="F541" s="335"/>
      <c r="G541" s="335"/>
      <c r="H541" s="336"/>
      <c r="I541" s="278">
        <v>34.0</v>
      </c>
      <c r="J541" s="277" t="s">
        <v>845</v>
      </c>
      <c r="K541" s="277" t="s">
        <v>848</v>
      </c>
      <c r="L541" s="338" t="s">
        <v>849</v>
      </c>
      <c r="M541" s="281"/>
    </row>
    <row r="542">
      <c r="A542" s="334"/>
      <c r="B542" s="335"/>
      <c r="C542" s="335"/>
      <c r="D542" s="335"/>
      <c r="E542" s="335"/>
      <c r="F542" s="335"/>
      <c r="G542" s="335"/>
      <c r="H542" s="336"/>
      <c r="I542" s="278">
        <v>35.0</v>
      </c>
      <c r="J542" s="277" t="s">
        <v>845</v>
      </c>
      <c r="K542" s="277" t="s">
        <v>850</v>
      </c>
      <c r="L542" s="15"/>
      <c r="M542" s="281"/>
    </row>
    <row r="543">
      <c r="A543" s="334"/>
      <c r="B543" s="335"/>
      <c r="C543" s="335"/>
      <c r="D543" s="335"/>
      <c r="E543" s="335"/>
      <c r="F543" s="335"/>
      <c r="G543" s="335"/>
      <c r="H543" s="336"/>
      <c r="I543" s="278">
        <v>36.0</v>
      </c>
      <c r="J543" s="277" t="s">
        <v>845</v>
      </c>
      <c r="K543" s="277" t="s">
        <v>851</v>
      </c>
      <c r="L543" s="15"/>
      <c r="M543" s="281"/>
    </row>
    <row r="544">
      <c r="A544" s="334"/>
      <c r="B544" s="335"/>
      <c r="C544" s="335"/>
      <c r="D544" s="335"/>
      <c r="E544" s="335"/>
      <c r="F544" s="335"/>
      <c r="G544" s="335"/>
      <c r="H544" s="336"/>
      <c r="I544" s="278">
        <v>37.0</v>
      </c>
      <c r="J544" s="277" t="s">
        <v>845</v>
      </c>
      <c r="K544" s="277" t="s">
        <v>852</v>
      </c>
      <c r="L544" s="15"/>
      <c r="M544" s="281"/>
    </row>
    <row r="545">
      <c r="A545" s="334"/>
      <c r="B545" s="335"/>
      <c r="C545" s="335"/>
      <c r="D545" s="335"/>
      <c r="E545" s="335"/>
      <c r="F545" s="335"/>
      <c r="G545" s="335"/>
      <c r="H545" s="336"/>
      <c r="I545" s="278">
        <v>38.0</v>
      </c>
      <c r="J545" s="277" t="s">
        <v>845</v>
      </c>
      <c r="K545" s="277" t="s">
        <v>853</v>
      </c>
      <c r="L545" s="15"/>
      <c r="M545" s="281"/>
    </row>
    <row r="546">
      <c r="A546" s="334"/>
      <c r="B546" s="335"/>
      <c r="C546" s="335"/>
      <c r="D546" s="335"/>
      <c r="E546" s="335"/>
      <c r="F546" s="335"/>
      <c r="G546" s="335"/>
      <c r="H546" s="336"/>
      <c r="I546" s="278">
        <v>39.0</v>
      </c>
      <c r="J546" s="277" t="s">
        <v>845</v>
      </c>
      <c r="K546" s="277" t="s">
        <v>854</v>
      </c>
      <c r="L546" s="25"/>
      <c r="M546" s="281"/>
    </row>
    <row r="547">
      <c r="A547" s="334"/>
      <c r="B547" s="335"/>
      <c r="C547" s="335"/>
      <c r="D547" s="335"/>
      <c r="E547" s="335"/>
      <c r="F547" s="335"/>
      <c r="G547" s="335"/>
      <c r="H547" s="336"/>
      <c r="I547" s="278"/>
      <c r="J547" s="280"/>
      <c r="K547" s="280"/>
      <c r="L547" s="280"/>
      <c r="M547" s="281"/>
    </row>
    <row r="548">
      <c r="A548" s="221"/>
      <c r="B548" s="232"/>
      <c r="C548" s="232"/>
      <c r="D548" s="232"/>
      <c r="E548" s="232"/>
      <c r="F548" s="232"/>
      <c r="G548" s="232"/>
      <c r="H548" s="221"/>
      <c r="I548" s="310"/>
      <c r="J548" s="303"/>
      <c r="K548" s="311"/>
      <c r="L548" s="329"/>
      <c r="M548" s="329"/>
    </row>
    <row r="549">
      <c r="A549" s="221"/>
      <c r="B549" s="232"/>
      <c r="C549" s="232"/>
      <c r="D549" s="232"/>
      <c r="E549" s="232"/>
      <c r="F549" s="232"/>
      <c r="G549" s="232"/>
      <c r="H549" s="221"/>
      <c r="I549" s="310"/>
      <c r="J549" s="303"/>
      <c r="K549" s="311"/>
      <c r="L549" s="329"/>
      <c r="M549" s="329"/>
    </row>
    <row r="550">
      <c r="A550" s="221"/>
      <c r="B550" s="232"/>
      <c r="C550" s="232"/>
      <c r="D550" s="232"/>
      <c r="E550" s="232"/>
      <c r="F550" s="232"/>
      <c r="G550" s="232"/>
      <c r="H550" s="221"/>
      <c r="I550" s="245">
        <v>40.0</v>
      </c>
      <c r="J550" s="253" t="s">
        <v>855</v>
      </c>
      <c r="K550" s="253" t="s">
        <v>856</v>
      </c>
      <c r="L550" s="245" t="s">
        <v>857</v>
      </c>
      <c r="M550" s="329"/>
    </row>
    <row r="551">
      <c r="A551" s="221"/>
      <c r="B551" s="232"/>
      <c r="C551" s="232"/>
      <c r="D551" s="232"/>
      <c r="E551" s="232"/>
      <c r="F551" s="232"/>
      <c r="G551" s="232"/>
      <c r="H551" s="221"/>
      <c r="I551" s="245">
        <v>41.0</v>
      </c>
      <c r="J551" s="253" t="s">
        <v>858</v>
      </c>
      <c r="K551" s="253" t="s">
        <v>859</v>
      </c>
      <c r="L551" s="245" t="s">
        <v>860</v>
      </c>
      <c r="M551" s="329"/>
    </row>
    <row r="552">
      <c r="A552" s="221"/>
      <c r="B552" s="232"/>
      <c r="C552" s="232"/>
      <c r="D552" s="232"/>
      <c r="E552" s="232"/>
      <c r="F552" s="232"/>
      <c r="G552" s="232"/>
      <c r="H552" s="221"/>
      <c r="I552" s="264">
        <v>42.0</v>
      </c>
      <c r="J552" s="309" t="s">
        <v>861</v>
      </c>
      <c r="K552" s="325" t="s">
        <v>862</v>
      </c>
      <c r="L552" s="329"/>
      <c r="M552" s="329"/>
    </row>
    <row r="553" ht="54.0" customHeight="1">
      <c r="A553" s="221"/>
      <c r="B553" s="232"/>
      <c r="C553" s="232"/>
      <c r="D553" s="232"/>
      <c r="E553" s="232"/>
      <c r="F553" s="232"/>
      <c r="G553" s="232"/>
      <c r="H553" s="221"/>
      <c r="I553" s="264">
        <v>43.0</v>
      </c>
      <c r="J553" s="309" t="s">
        <v>863</v>
      </c>
      <c r="K553" s="339" t="s">
        <v>864</v>
      </c>
      <c r="L553" s="329"/>
      <c r="M553" s="329"/>
    </row>
    <row r="554">
      <c r="A554" s="221"/>
      <c r="B554" s="232"/>
      <c r="C554" s="232"/>
      <c r="D554" s="232"/>
      <c r="E554" s="232"/>
      <c r="F554" s="232"/>
      <c r="G554" s="232"/>
      <c r="H554" s="221"/>
      <c r="I554" s="264">
        <v>44.0</v>
      </c>
      <c r="J554" s="309" t="s">
        <v>865</v>
      </c>
      <c r="K554" s="253" t="s">
        <v>866</v>
      </c>
      <c r="L554" s="329"/>
      <c r="M554" s="329"/>
    </row>
    <row r="555">
      <c r="A555" s="221"/>
      <c r="B555" s="232"/>
      <c r="C555" s="232"/>
      <c r="D555" s="232"/>
      <c r="E555" s="232"/>
      <c r="F555" s="232"/>
      <c r="G555" s="232"/>
      <c r="H555" s="221"/>
      <c r="I555" s="310"/>
      <c r="J555" s="303"/>
      <c r="K555" s="339"/>
      <c r="L555" s="329"/>
      <c r="M555" s="329"/>
    </row>
    <row r="556">
      <c r="A556" s="221"/>
      <c r="B556" s="232"/>
      <c r="C556" s="232"/>
      <c r="D556" s="232"/>
      <c r="E556" s="232"/>
      <c r="F556" s="232"/>
      <c r="G556" s="232"/>
      <c r="H556" s="221"/>
      <c r="I556" s="310"/>
      <c r="J556" s="303"/>
      <c r="K556" s="339"/>
      <c r="L556" s="329"/>
      <c r="M556" s="329"/>
    </row>
    <row r="557">
      <c r="A557" s="221"/>
      <c r="B557" s="232"/>
      <c r="C557" s="232"/>
      <c r="D557" s="232"/>
      <c r="E557" s="232"/>
      <c r="F557" s="232"/>
      <c r="G557" s="232"/>
      <c r="H557" s="221"/>
      <c r="I557" s="310"/>
      <c r="J557" s="303"/>
      <c r="K557" s="311"/>
      <c r="L557" s="329"/>
      <c r="M557" s="329"/>
    </row>
    <row r="558">
      <c r="A558" s="221"/>
      <c r="B558" s="232"/>
      <c r="C558" s="232"/>
      <c r="D558" s="232"/>
      <c r="E558" s="232"/>
      <c r="F558" s="232"/>
      <c r="G558" s="232"/>
      <c r="H558" s="221"/>
      <c r="I558" s="245">
        <v>52.0</v>
      </c>
      <c r="J558" s="244" t="s">
        <v>867</v>
      </c>
      <c r="K558" s="251" t="s">
        <v>868</v>
      </c>
      <c r="L558" s="329"/>
      <c r="M558" s="329"/>
    </row>
    <row r="559">
      <c r="A559" s="221"/>
      <c r="B559" s="232"/>
      <c r="C559" s="232"/>
      <c r="D559" s="232"/>
      <c r="E559" s="232"/>
      <c r="F559" s="232"/>
      <c r="G559" s="232"/>
      <c r="H559" s="221"/>
      <c r="I559" s="245">
        <v>53.0</v>
      </c>
      <c r="J559" s="302"/>
      <c r="K559" s="251" t="s">
        <v>869</v>
      </c>
      <c r="L559" s="329"/>
      <c r="M559" s="329"/>
    </row>
    <row r="560">
      <c r="A560" s="221"/>
      <c r="B560" s="232"/>
      <c r="C560" s="232"/>
      <c r="D560" s="232"/>
      <c r="E560" s="232"/>
      <c r="F560" s="232"/>
      <c r="G560" s="232"/>
      <c r="H560" s="221"/>
      <c r="I560" s="245">
        <v>54.0</v>
      </c>
      <c r="J560" s="244" t="s">
        <v>867</v>
      </c>
      <c r="K560" s="251" t="s">
        <v>870</v>
      </c>
      <c r="L560" s="329"/>
      <c r="M560" s="329"/>
    </row>
    <row r="561">
      <c r="A561" s="221"/>
      <c r="B561" s="232"/>
      <c r="C561" s="232"/>
      <c r="D561" s="232"/>
      <c r="E561" s="232"/>
      <c r="F561" s="232"/>
      <c r="G561" s="232"/>
      <c r="H561" s="221"/>
      <c r="I561" s="245">
        <v>55.0</v>
      </c>
      <c r="J561" s="244" t="s">
        <v>867</v>
      </c>
      <c r="K561" s="251" t="s">
        <v>871</v>
      </c>
      <c r="L561" s="329"/>
      <c r="M561" s="329"/>
    </row>
    <row r="562">
      <c r="A562" s="221"/>
      <c r="B562" s="232"/>
      <c r="C562" s="232"/>
      <c r="D562" s="232"/>
      <c r="E562" s="232"/>
      <c r="F562" s="232"/>
      <c r="G562" s="232"/>
      <c r="H562" s="221"/>
      <c r="I562" s="264">
        <v>56.0</v>
      </c>
      <c r="J562" s="244" t="s">
        <v>867</v>
      </c>
      <c r="K562" s="325" t="s">
        <v>872</v>
      </c>
      <c r="L562" s="329"/>
      <c r="M562" s="329"/>
    </row>
    <row r="563">
      <c r="A563" s="221"/>
      <c r="B563" s="232"/>
      <c r="C563" s="232"/>
      <c r="D563" s="232"/>
      <c r="E563" s="232"/>
      <c r="F563" s="232"/>
      <c r="G563" s="232"/>
      <c r="H563" s="221"/>
      <c r="I563" s="310"/>
      <c r="J563" s="303"/>
      <c r="K563" s="311"/>
      <c r="L563" s="329"/>
      <c r="M563" s="329"/>
    </row>
    <row r="564" ht="50.25" customHeight="1">
      <c r="A564" s="221"/>
      <c r="B564" s="232"/>
      <c r="C564" s="232"/>
      <c r="D564" s="232"/>
      <c r="E564" s="232"/>
      <c r="F564" s="232"/>
      <c r="G564" s="232"/>
      <c r="H564" s="221"/>
      <c r="I564" s="340">
        <v>60.0</v>
      </c>
      <c r="J564" s="341" t="s">
        <v>873</v>
      </c>
      <c r="K564" s="342" t="s">
        <v>874</v>
      </c>
      <c r="L564" s="343" t="s">
        <v>875</v>
      </c>
      <c r="M564" s="343" t="s">
        <v>876</v>
      </c>
    </row>
    <row r="565" ht="65.25" customHeight="1">
      <c r="A565" s="221"/>
      <c r="B565" s="232"/>
      <c r="C565" s="232"/>
      <c r="D565" s="232"/>
      <c r="E565" s="232"/>
      <c r="F565" s="232"/>
      <c r="G565" s="232"/>
      <c r="H565" s="221"/>
      <c r="I565" s="340">
        <v>61.0</v>
      </c>
      <c r="J565" s="341" t="s">
        <v>877</v>
      </c>
      <c r="K565" s="15"/>
      <c r="L565" s="343" t="s">
        <v>878</v>
      </c>
      <c r="M565" s="301" t="s">
        <v>879</v>
      </c>
    </row>
    <row r="566" ht="50.25" customHeight="1">
      <c r="A566" s="221"/>
      <c r="B566" s="232"/>
      <c r="C566" s="232"/>
      <c r="D566" s="232"/>
      <c r="E566" s="232"/>
      <c r="F566" s="232"/>
      <c r="G566" s="232"/>
      <c r="H566" s="221"/>
      <c r="I566" s="340">
        <v>62.0</v>
      </c>
      <c r="J566" s="341" t="s">
        <v>880</v>
      </c>
      <c r="K566" s="15"/>
      <c r="L566" s="343" t="s">
        <v>881</v>
      </c>
      <c r="M566" s="344" t="s">
        <v>882</v>
      </c>
    </row>
    <row r="567" ht="25.5" customHeight="1">
      <c r="A567" s="221"/>
      <c r="B567" s="232"/>
      <c r="C567" s="232"/>
      <c r="D567" s="232"/>
      <c r="E567" s="232"/>
      <c r="F567" s="232"/>
      <c r="G567" s="232"/>
      <c r="H567" s="221"/>
      <c r="I567" s="340">
        <v>63.0</v>
      </c>
      <c r="J567" s="341" t="s">
        <v>883</v>
      </c>
      <c r="K567" s="15"/>
      <c r="L567" s="345"/>
      <c r="M567" s="345"/>
    </row>
    <row r="568" ht="21.0" customHeight="1">
      <c r="A568" s="221"/>
      <c r="B568" s="232"/>
      <c r="C568" s="232"/>
      <c r="D568" s="232"/>
      <c r="E568" s="232"/>
      <c r="F568" s="232"/>
      <c r="G568" s="232"/>
      <c r="H568" s="221"/>
      <c r="I568" s="340">
        <v>64.0</v>
      </c>
      <c r="J568" s="341" t="s">
        <v>884</v>
      </c>
      <c r="K568" s="15"/>
      <c r="L568" s="345"/>
      <c r="M568" s="345"/>
    </row>
    <row r="569" ht="21.0" customHeight="1">
      <c r="A569" s="221"/>
      <c r="B569" s="232"/>
      <c r="C569" s="232"/>
      <c r="D569" s="232"/>
      <c r="E569" s="232"/>
      <c r="F569" s="232"/>
      <c r="G569" s="232"/>
      <c r="H569" s="221"/>
      <c r="I569" s="340">
        <v>65.0</v>
      </c>
      <c r="J569" s="341" t="s">
        <v>885</v>
      </c>
      <c r="K569" s="25"/>
      <c r="L569" s="345"/>
      <c r="M569" s="345"/>
    </row>
    <row r="570">
      <c r="A570" s="221"/>
      <c r="B570" s="232"/>
      <c r="C570" s="232"/>
      <c r="D570" s="232"/>
      <c r="E570" s="232"/>
      <c r="F570" s="232"/>
      <c r="G570" s="232"/>
      <c r="H570" s="221"/>
      <c r="I570" s="346">
        <v>66.0</v>
      </c>
      <c r="J570" s="347" t="s">
        <v>886</v>
      </c>
      <c r="K570" s="311"/>
      <c r="L570" s="344" t="s">
        <v>887</v>
      </c>
      <c r="M570" s="343" t="s">
        <v>888</v>
      </c>
    </row>
    <row r="571">
      <c r="A571" s="221"/>
      <c r="B571" s="232"/>
      <c r="C571" s="232"/>
      <c r="D571" s="232"/>
      <c r="E571" s="232"/>
      <c r="F571" s="232"/>
      <c r="G571" s="232"/>
      <c r="H571" s="221"/>
      <c r="I571" s="340">
        <v>67.0</v>
      </c>
      <c r="J571" s="341" t="s">
        <v>889</v>
      </c>
      <c r="K571" s="325" t="s">
        <v>890</v>
      </c>
      <c r="L571" s="329"/>
      <c r="M571" s="254"/>
    </row>
    <row r="572">
      <c r="A572" s="221"/>
      <c r="B572" s="232"/>
      <c r="C572" s="232"/>
      <c r="D572" s="232"/>
      <c r="E572" s="232"/>
      <c r="F572" s="232"/>
      <c r="G572" s="232"/>
      <c r="H572" s="221"/>
      <c r="I572" s="340">
        <v>68.0</v>
      </c>
      <c r="J572" s="341" t="s">
        <v>891</v>
      </c>
      <c r="K572" s="265" t="s">
        <v>890</v>
      </c>
      <c r="L572" s="329"/>
      <c r="M572" s="329"/>
    </row>
    <row r="573">
      <c r="A573" s="221"/>
      <c r="B573" s="232"/>
      <c r="C573" s="232"/>
      <c r="D573" s="232"/>
      <c r="E573" s="232"/>
      <c r="F573" s="232"/>
      <c r="G573" s="232"/>
      <c r="H573" s="221"/>
      <c r="I573" s="340">
        <v>69.0</v>
      </c>
      <c r="J573" s="341" t="s">
        <v>892</v>
      </c>
      <c r="K573" s="265" t="s">
        <v>890</v>
      </c>
      <c r="L573" s="329"/>
      <c r="M573" s="329"/>
    </row>
    <row r="574">
      <c r="A574" s="221"/>
      <c r="B574" s="232"/>
      <c r="C574" s="232"/>
      <c r="D574" s="232"/>
      <c r="E574" s="232"/>
      <c r="F574" s="232"/>
      <c r="G574" s="232"/>
      <c r="H574" s="221"/>
      <c r="I574" s="340">
        <v>70.0</v>
      </c>
      <c r="J574" s="341" t="s">
        <v>893</v>
      </c>
      <c r="K574" s="265" t="s">
        <v>890</v>
      </c>
      <c r="L574" s="329"/>
      <c r="M574" s="329"/>
    </row>
    <row r="575">
      <c r="A575" s="221"/>
      <c r="B575" s="232"/>
      <c r="C575" s="232"/>
      <c r="D575" s="232"/>
      <c r="E575" s="232"/>
      <c r="F575" s="232"/>
      <c r="G575" s="232"/>
      <c r="H575" s="221"/>
      <c r="I575" s="340">
        <v>71.0</v>
      </c>
      <c r="J575" s="341" t="s">
        <v>894</v>
      </c>
      <c r="K575" s="265" t="s">
        <v>890</v>
      </c>
      <c r="L575" s="329"/>
      <c r="M575" s="329"/>
    </row>
    <row r="576">
      <c r="A576" s="221"/>
      <c r="B576" s="232"/>
      <c r="C576" s="232"/>
      <c r="D576" s="232"/>
      <c r="E576" s="232"/>
      <c r="F576" s="232"/>
      <c r="G576" s="232"/>
      <c r="H576" s="221"/>
      <c r="I576" s="340">
        <v>72.0</v>
      </c>
      <c r="J576" s="348" t="s">
        <v>895</v>
      </c>
      <c r="K576" s="265" t="s">
        <v>890</v>
      </c>
      <c r="L576" s="329"/>
      <c r="M576" s="329"/>
    </row>
    <row r="577">
      <c r="A577" s="221"/>
      <c r="B577" s="232"/>
      <c r="C577" s="232"/>
      <c r="D577" s="232"/>
      <c r="E577" s="232"/>
      <c r="F577" s="232"/>
      <c r="G577" s="232"/>
      <c r="H577" s="221"/>
      <c r="I577" s="340">
        <v>73.0</v>
      </c>
      <c r="J577" s="348" t="s">
        <v>896</v>
      </c>
      <c r="K577" s="265" t="s">
        <v>890</v>
      </c>
      <c r="L577" s="329"/>
      <c r="M577" s="329"/>
    </row>
    <row r="578">
      <c r="A578" s="221"/>
      <c r="B578" s="232"/>
      <c r="C578" s="232"/>
      <c r="D578" s="232"/>
      <c r="E578" s="232"/>
      <c r="F578" s="232"/>
      <c r="G578" s="232"/>
      <c r="H578" s="221"/>
      <c r="I578" s="340">
        <v>74.0</v>
      </c>
      <c r="J578" s="348" t="s">
        <v>897</v>
      </c>
      <c r="K578" s="325" t="s">
        <v>890</v>
      </c>
      <c r="L578" s="329"/>
      <c r="M578" s="329"/>
    </row>
    <row r="579">
      <c r="A579" s="221"/>
      <c r="B579" s="232"/>
      <c r="C579" s="232"/>
      <c r="D579" s="232"/>
      <c r="E579" s="232"/>
      <c r="F579" s="232"/>
      <c r="G579" s="232"/>
      <c r="H579" s="221"/>
      <c r="I579" s="340" t="s">
        <v>898</v>
      </c>
      <c r="J579" s="348" t="s">
        <v>899</v>
      </c>
      <c r="K579" s="311"/>
      <c r="L579" s="329"/>
      <c r="M579" s="329"/>
    </row>
    <row r="580">
      <c r="A580" s="221"/>
      <c r="B580" s="232"/>
      <c r="C580" s="232"/>
      <c r="D580" s="232"/>
      <c r="E580" s="232"/>
      <c r="F580" s="232"/>
      <c r="G580" s="232"/>
      <c r="H580" s="221"/>
      <c r="I580" s="264"/>
      <c r="J580" s="265"/>
      <c r="K580" s="311"/>
      <c r="L580" s="329"/>
      <c r="M580" s="329"/>
    </row>
    <row r="581" ht="131.25" customHeight="1">
      <c r="A581" s="221"/>
      <c r="B581" s="232"/>
      <c r="C581" s="232"/>
      <c r="D581" s="232"/>
      <c r="E581" s="232"/>
      <c r="F581" s="232"/>
      <c r="G581" s="232"/>
      <c r="H581" s="221"/>
      <c r="I581" s="257">
        <v>80.0</v>
      </c>
      <c r="J581" s="257" t="s">
        <v>900</v>
      </c>
      <c r="K581" s="349" t="s">
        <v>901</v>
      </c>
      <c r="L581" s="350" t="s">
        <v>902</v>
      </c>
      <c r="M581" s="350" t="s">
        <v>903</v>
      </c>
    </row>
    <row r="582">
      <c r="A582" s="221"/>
      <c r="B582" s="232"/>
      <c r="C582" s="232"/>
      <c r="D582" s="232"/>
      <c r="E582" s="232"/>
      <c r="F582" s="232"/>
      <c r="G582" s="232"/>
      <c r="H582" s="221"/>
      <c r="I582" s="257">
        <v>85.0</v>
      </c>
      <c r="J582" s="257" t="s">
        <v>904</v>
      </c>
      <c r="K582" s="351" t="s">
        <v>905</v>
      </c>
      <c r="L582" s="329"/>
      <c r="M582" s="329"/>
    </row>
    <row r="583">
      <c r="A583" s="221"/>
      <c r="B583" s="232"/>
      <c r="C583" s="232"/>
      <c r="D583" s="232"/>
      <c r="E583" s="232"/>
      <c r="F583" s="232"/>
      <c r="G583" s="232"/>
      <c r="H583" s="221"/>
      <c r="I583" s="352">
        <v>86.0</v>
      </c>
      <c r="J583" s="265" t="s">
        <v>906</v>
      </c>
      <c r="K583" s="351" t="s">
        <v>907</v>
      </c>
      <c r="L583" s="329"/>
      <c r="M583" s="329"/>
    </row>
    <row r="584">
      <c r="A584" s="221"/>
      <c r="B584" s="232"/>
      <c r="C584" s="232"/>
      <c r="D584" s="232"/>
      <c r="E584" s="232"/>
      <c r="F584" s="232"/>
      <c r="G584" s="232"/>
      <c r="H584" s="221"/>
      <c r="I584" s="264"/>
      <c r="J584" s="265"/>
      <c r="K584" s="351"/>
      <c r="L584" s="329"/>
      <c r="M584" s="329"/>
    </row>
    <row r="585">
      <c r="A585" s="221"/>
      <c r="B585" s="232"/>
      <c r="C585" s="232"/>
      <c r="D585" s="232"/>
      <c r="E585" s="232"/>
      <c r="F585" s="232"/>
      <c r="G585" s="232"/>
      <c r="H585" s="221"/>
      <c r="I585" s="264">
        <v>90.0</v>
      </c>
      <c r="J585" s="265" t="s">
        <v>908</v>
      </c>
      <c r="K585" s="351"/>
      <c r="L585" s="329"/>
      <c r="M585" s="329"/>
    </row>
    <row r="586">
      <c r="A586" s="221"/>
      <c r="B586" s="232"/>
      <c r="C586" s="232"/>
      <c r="D586" s="232"/>
      <c r="E586" s="232"/>
      <c r="F586" s="232"/>
      <c r="G586" s="232"/>
      <c r="H586" s="221"/>
      <c r="I586" s="264"/>
      <c r="J586" s="265"/>
      <c r="K586" s="351"/>
      <c r="L586" s="329"/>
      <c r="M586" s="329"/>
    </row>
    <row r="587">
      <c r="A587" s="221"/>
      <c r="B587" s="232"/>
      <c r="C587" s="232"/>
      <c r="D587" s="232"/>
      <c r="E587" s="232"/>
      <c r="F587" s="232"/>
      <c r="G587" s="232"/>
      <c r="H587" s="221"/>
      <c r="I587" s="352">
        <v>255.0</v>
      </c>
      <c r="J587" s="265" t="s">
        <v>909</v>
      </c>
      <c r="K587" s="351"/>
      <c r="L587" s="329"/>
      <c r="M587" s="329"/>
    </row>
    <row r="588">
      <c r="A588" s="221"/>
      <c r="B588" s="232"/>
      <c r="C588" s="232"/>
      <c r="D588" s="232"/>
      <c r="E588" s="232"/>
      <c r="F588" s="232"/>
      <c r="G588" s="232"/>
      <c r="H588" s="221"/>
      <c r="I588" s="353"/>
      <c r="J588" s="354"/>
      <c r="K588" s="355"/>
      <c r="L588" s="330"/>
      <c r="M588" s="330"/>
    </row>
    <row r="589">
      <c r="A589" s="221"/>
      <c r="B589" s="232"/>
      <c r="C589" s="232"/>
      <c r="D589" s="232"/>
      <c r="E589" s="232"/>
      <c r="F589" s="232"/>
      <c r="G589" s="232"/>
      <c r="H589" s="221"/>
      <c r="I589" s="353"/>
      <c r="J589" s="354"/>
      <c r="K589" s="355"/>
      <c r="L589" s="330"/>
      <c r="M589" s="330"/>
    </row>
    <row r="590">
      <c r="A590" s="221"/>
      <c r="B590" s="232"/>
      <c r="C590" s="232"/>
      <c r="D590" s="232"/>
      <c r="E590" s="232"/>
      <c r="F590" s="232"/>
      <c r="G590" s="232"/>
      <c r="H590" s="221"/>
      <c r="I590" s="353"/>
      <c r="J590" s="354"/>
      <c r="K590" s="355"/>
      <c r="L590" s="330"/>
      <c r="M590" s="330"/>
    </row>
    <row r="591">
      <c r="A591" s="221"/>
      <c r="B591" s="232"/>
      <c r="C591" s="232"/>
      <c r="D591" s="232"/>
      <c r="E591" s="232"/>
      <c r="F591" s="232"/>
      <c r="G591" s="232"/>
      <c r="H591" s="221"/>
      <c r="I591" s="353"/>
      <c r="J591" s="354"/>
      <c r="K591" s="355"/>
      <c r="L591" s="330"/>
      <c r="M591" s="330"/>
    </row>
    <row r="592">
      <c r="A592" s="221"/>
      <c r="B592" s="232"/>
      <c r="C592" s="232"/>
      <c r="D592" s="232"/>
      <c r="E592" s="232"/>
      <c r="F592" s="232"/>
      <c r="G592" s="232"/>
      <c r="H592" s="221"/>
      <c r="I592" s="353"/>
      <c r="J592" s="354"/>
      <c r="K592" s="355"/>
      <c r="L592" s="330"/>
      <c r="M592" s="330"/>
    </row>
    <row r="593">
      <c r="A593" s="221"/>
      <c r="B593" s="232"/>
      <c r="C593" s="232"/>
      <c r="D593" s="232"/>
      <c r="E593" s="232"/>
      <c r="F593" s="232"/>
      <c r="G593" s="232"/>
      <c r="H593" s="221"/>
      <c r="I593" s="353"/>
      <c r="J593" s="354"/>
      <c r="K593" s="355"/>
      <c r="L593" s="330"/>
      <c r="M593" s="330"/>
    </row>
    <row r="594">
      <c r="A594" s="221"/>
      <c r="B594" s="232"/>
      <c r="C594" s="232"/>
      <c r="D594" s="232"/>
      <c r="E594" s="232"/>
      <c r="F594" s="232"/>
      <c r="G594" s="232"/>
      <c r="H594" s="221"/>
      <c r="I594" s="353"/>
      <c r="J594" s="354"/>
      <c r="K594" s="355"/>
      <c r="L594" s="330"/>
      <c r="M594" s="330"/>
    </row>
    <row r="595">
      <c r="A595" s="221"/>
      <c r="B595" s="232"/>
      <c r="C595" s="232"/>
      <c r="D595" s="232"/>
      <c r="E595" s="232"/>
      <c r="F595" s="232"/>
      <c r="G595" s="232"/>
      <c r="H595" s="221"/>
      <c r="I595" s="356" t="s">
        <v>593</v>
      </c>
      <c r="J595" s="6"/>
      <c r="K595" s="6"/>
      <c r="L595" s="7"/>
      <c r="M595" s="330"/>
    </row>
    <row r="596">
      <c r="A596" s="221"/>
      <c r="B596" s="232"/>
      <c r="C596" s="232"/>
      <c r="D596" s="232"/>
      <c r="E596" s="232"/>
      <c r="F596" s="232"/>
      <c r="G596" s="232"/>
      <c r="H596" s="221"/>
      <c r="I596" s="357" t="s">
        <v>594</v>
      </c>
      <c r="J596" s="358" t="s">
        <v>297</v>
      </c>
      <c r="K596" s="358" t="s">
        <v>298</v>
      </c>
      <c r="L596" s="359" t="s">
        <v>229</v>
      </c>
      <c r="M596" s="330"/>
    </row>
    <row r="597">
      <c r="A597" s="221"/>
      <c r="B597" s="232"/>
      <c r="C597" s="232"/>
      <c r="D597" s="232"/>
      <c r="E597" s="232"/>
      <c r="F597" s="232"/>
      <c r="G597" s="232"/>
      <c r="H597" s="221"/>
      <c r="I597" s="360">
        <v>0.0</v>
      </c>
      <c r="J597" s="361" t="s">
        <v>910</v>
      </c>
      <c r="K597" s="362" t="s">
        <v>596</v>
      </c>
      <c r="L597" s="363" t="s">
        <v>597</v>
      </c>
      <c r="M597" s="330"/>
    </row>
    <row r="598">
      <c r="A598" s="221"/>
      <c r="B598" s="232"/>
      <c r="C598" s="232"/>
      <c r="D598" s="232"/>
      <c r="E598" s="232"/>
      <c r="F598" s="232"/>
      <c r="G598" s="232"/>
      <c r="H598" s="221"/>
      <c r="I598" s="360">
        <v>1.0</v>
      </c>
      <c r="J598" s="361" t="s">
        <v>911</v>
      </c>
      <c r="K598" s="362" t="s">
        <v>596</v>
      </c>
      <c r="M598" s="330"/>
    </row>
    <row r="599">
      <c r="A599" s="221"/>
      <c r="B599" s="232"/>
      <c r="C599" s="232"/>
      <c r="D599" s="232"/>
      <c r="E599" s="232"/>
      <c r="F599" s="232"/>
      <c r="G599" s="232"/>
      <c r="H599" s="221"/>
      <c r="I599" s="360">
        <v>2.0</v>
      </c>
      <c r="J599" s="361"/>
      <c r="K599" s="362"/>
      <c r="M599" s="330"/>
    </row>
    <row r="600">
      <c r="A600" s="221"/>
      <c r="B600" s="232"/>
      <c r="C600" s="232"/>
      <c r="D600" s="232"/>
      <c r="E600" s="232"/>
      <c r="F600" s="232"/>
      <c r="G600" s="232"/>
      <c r="H600" s="221"/>
      <c r="I600" s="360">
        <v>3.0</v>
      </c>
      <c r="J600" s="362"/>
      <c r="K600" s="362"/>
      <c r="M600" s="330"/>
    </row>
    <row r="601">
      <c r="A601" s="221"/>
      <c r="B601" s="232"/>
      <c r="C601" s="232"/>
      <c r="D601" s="232"/>
      <c r="E601" s="232"/>
      <c r="F601" s="232"/>
      <c r="G601" s="232"/>
      <c r="H601" s="221"/>
      <c r="I601" s="360">
        <v>4.0</v>
      </c>
      <c r="J601" s="362"/>
      <c r="K601" s="362"/>
      <c r="M601" s="330"/>
    </row>
    <row r="602">
      <c r="A602" s="221"/>
      <c r="B602" s="232"/>
      <c r="C602" s="232"/>
      <c r="D602" s="232"/>
      <c r="E602" s="232"/>
      <c r="F602" s="232"/>
      <c r="G602" s="232"/>
      <c r="H602" s="221"/>
      <c r="I602" s="360">
        <v>5.0</v>
      </c>
      <c r="J602" s="362"/>
      <c r="K602" s="362"/>
      <c r="M602" s="330"/>
    </row>
    <row r="603">
      <c r="A603" s="221"/>
      <c r="B603" s="232"/>
      <c r="C603" s="232"/>
      <c r="D603" s="232"/>
      <c r="E603" s="232"/>
      <c r="F603" s="232"/>
      <c r="G603" s="232"/>
      <c r="H603" s="221"/>
      <c r="I603" s="360">
        <v>6.0</v>
      </c>
      <c r="J603" s="362"/>
      <c r="K603" s="362"/>
      <c r="M603" s="330"/>
    </row>
    <row r="604">
      <c r="A604" s="221"/>
      <c r="B604" s="232"/>
      <c r="C604" s="232"/>
      <c r="D604" s="232"/>
      <c r="E604" s="232"/>
      <c r="F604" s="232"/>
      <c r="G604" s="232"/>
      <c r="H604" s="221"/>
      <c r="I604" s="360">
        <v>7.0</v>
      </c>
      <c r="J604" s="362"/>
      <c r="K604" s="362"/>
      <c r="M604" s="330"/>
    </row>
    <row r="605">
      <c r="A605" s="221"/>
      <c r="B605" s="232"/>
      <c r="C605" s="232"/>
      <c r="D605" s="232"/>
      <c r="E605" s="232"/>
      <c r="F605" s="232"/>
      <c r="G605" s="232"/>
      <c r="H605" s="221"/>
      <c r="I605" s="360">
        <v>8.0</v>
      </c>
      <c r="J605" s="362"/>
      <c r="K605" s="362"/>
      <c r="M605" s="330"/>
    </row>
    <row r="606">
      <c r="A606" s="221"/>
      <c r="B606" s="232"/>
      <c r="C606" s="232"/>
      <c r="D606" s="232"/>
      <c r="E606" s="232"/>
      <c r="F606" s="232"/>
      <c r="G606" s="232"/>
      <c r="H606" s="221"/>
      <c r="I606" s="360">
        <v>9.0</v>
      </c>
      <c r="J606" s="362"/>
      <c r="K606" s="362"/>
      <c r="M606" s="330"/>
    </row>
    <row r="607">
      <c r="A607" s="221"/>
      <c r="B607" s="232"/>
      <c r="C607" s="232"/>
      <c r="D607" s="232"/>
      <c r="E607" s="232"/>
      <c r="F607" s="232"/>
      <c r="G607" s="232"/>
      <c r="H607" s="221"/>
      <c r="I607" s="360">
        <v>10.0</v>
      </c>
      <c r="J607" s="362"/>
      <c r="K607" s="362"/>
      <c r="M607" s="330"/>
    </row>
    <row r="608">
      <c r="A608" s="221"/>
      <c r="B608" s="232"/>
      <c r="C608" s="232"/>
      <c r="D608" s="232"/>
      <c r="E608" s="232"/>
      <c r="F608" s="232"/>
      <c r="G608" s="232"/>
      <c r="H608" s="221"/>
      <c r="I608" s="360">
        <v>11.0</v>
      </c>
      <c r="J608" s="362"/>
      <c r="K608" s="362"/>
      <c r="M608" s="330"/>
    </row>
    <row r="609">
      <c r="A609" s="221"/>
      <c r="B609" s="232"/>
      <c r="C609" s="232"/>
      <c r="D609" s="232"/>
      <c r="E609" s="232"/>
      <c r="F609" s="232"/>
      <c r="G609" s="232"/>
      <c r="H609" s="221"/>
      <c r="I609" s="360">
        <v>12.0</v>
      </c>
      <c r="J609" s="364" t="s">
        <v>912</v>
      </c>
      <c r="K609" s="365" t="s">
        <v>610</v>
      </c>
      <c r="M609" s="330"/>
    </row>
    <row r="610">
      <c r="A610" s="221"/>
      <c r="B610" s="232"/>
      <c r="C610" s="232"/>
      <c r="D610" s="232"/>
      <c r="E610" s="232"/>
      <c r="F610" s="232"/>
      <c r="G610" s="232"/>
      <c r="H610" s="221"/>
      <c r="I610" s="360">
        <v>13.0</v>
      </c>
      <c r="J610" s="27"/>
      <c r="K610" s="27"/>
      <c r="M610" s="330"/>
    </row>
    <row r="611">
      <c r="A611" s="221"/>
      <c r="B611" s="232"/>
      <c r="C611" s="232"/>
      <c r="D611" s="232"/>
      <c r="E611" s="232"/>
      <c r="F611" s="232"/>
      <c r="G611" s="232"/>
      <c r="H611" s="221"/>
      <c r="I611" s="360">
        <v>14.0</v>
      </c>
      <c r="J611" s="364" t="s">
        <v>913</v>
      </c>
      <c r="K611" s="365" t="s">
        <v>612</v>
      </c>
      <c r="M611" s="330"/>
    </row>
    <row r="612">
      <c r="A612" s="221"/>
      <c r="B612" s="232"/>
      <c r="C612" s="232"/>
      <c r="D612" s="232"/>
      <c r="E612" s="232"/>
      <c r="F612" s="232"/>
      <c r="G612" s="232"/>
      <c r="H612" s="221"/>
      <c r="I612" s="360">
        <v>15.0</v>
      </c>
      <c r="J612" s="27"/>
      <c r="K612" s="27"/>
      <c r="M612" s="330"/>
    </row>
    <row r="613">
      <c r="A613" s="221"/>
      <c r="B613" s="232"/>
      <c r="C613" s="232"/>
      <c r="D613" s="232"/>
      <c r="E613" s="232"/>
      <c r="F613" s="232"/>
      <c r="G613" s="232"/>
      <c r="H613" s="221"/>
      <c r="I613" s="360">
        <v>16.0</v>
      </c>
      <c r="J613" s="366" t="s">
        <v>914</v>
      </c>
      <c r="K613" s="367" t="s">
        <v>614</v>
      </c>
      <c r="M613" s="330"/>
    </row>
    <row r="614">
      <c r="A614" s="221"/>
      <c r="B614" s="232"/>
      <c r="C614" s="232"/>
      <c r="D614" s="232"/>
      <c r="E614" s="232"/>
      <c r="F614" s="232"/>
      <c r="G614" s="232"/>
      <c r="H614" s="221"/>
      <c r="I614" s="360">
        <v>17.0</v>
      </c>
      <c r="J614" s="366" t="s">
        <v>915</v>
      </c>
      <c r="K614" s="367" t="s">
        <v>616</v>
      </c>
      <c r="M614" s="330"/>
    </row>
    <row r="615">
      <c r="A615" s="221"/>
      <c r="B615" s="232"/>
      <c r="C615" s="232"/>
      <c r="D615" s="232"/>
      <c r="E615" s="232"/>
      <c r="F615" s="232"/>
      <c r="G615" s="232"/>
      <c r="H615" s="221"/>
      <c r="I615" s="360">
        <v>18.0</v>
      </c>
      <c r="J615" s="366" t="s">
        <v>916</v>
      </c>
      <c r="K615" s="367" t="s">
        <v>618</v>
      </c>
      <c r="M615" s="330"/>
    </row>
    <row r="616">
      <c r="A616" s="221"/>
      <c r="B616" s="232"/>
      <c r="C616" s="232"/>
      <c r="D616" s="232"/>
      <c r="E616" s="232"/>
      <c r="F616" s="232"/>
      <c r="G616" s="232"/>
      <c r="H616" s="221"/>
      <c r="I616" s="360">
        <v>19.0</v>
      </c>
      <c r="J616" s="368" t="s">
        <v>917</v>
      </c>
      <c r="K616" s="368" t="s">
        <v>918</v>
      </c>
      <c r="M616" s="330"/>
    </row>
    <row r="617">
      <c r="A617" s="221"/>
      <c r="B617" s="232"/>
      <c r="C617" s="232"/>
      <c r="D617" s="232"/>
      <c r="E617" s="232"/>
      <c r="F617" s="232"/>
      <c r="G617" s="232"/>
      <c r="H617" s="221"/>
      <c r="I617" s="360">
        <v>20.0</v>
      </c>
      <c r="J617" s="20"/>
      <c r="K617" s="20"/>
      <c r="M617" s="330"/>
    </row>
    <row r="618">
      <c r="A618" s="221"/>
      <c r="B618" s="232"/>
      <c r="C618" s="232"/>
      <c r="D618" s="232"/>
      <c r="E618" s="232"/>
      <c r="F618" s="232"/>
      <c r="G618" s="232"/>
      <c r="H618" s="221"/>
      <c r="I618" s="360">
        <v>21.0</v>
      </c>
      <c r="J618" s="20"/>
      <c r="K618" s="20"/>
      <c r="M618" s="330"/>
    </row>
    <row r="619">
      <c r="A619" s="221"/>
      <c r="B619" s="232"/>
      <c r="C619" s="232"/>
      <c r="D619" s="232"/>
      <c r="E619" s="232"/>
      <c r="F619" s="232"/>
      <c r="G619" s="232"/>
      <c r="H619" s="221"/>
      <c r="I619" s="360">
        <v>22.0</v>
      </c>
      <c r="J619" s="20"/>
      <c r="K619" s="20"/>
      <c r="M619" s="330"/>
    </row>
    <row r="620">
      <c r="A620" s="221"/>
      <c r="B620" s="232"/>
      <c r="C620" s="232"/>
      <c r="D620" s="232"/>
      <c r="E620" s="232"/>
      <c r="F620" s="232"/>
      <c r="G620" s="232"/>
      <c r="H620" s="221"/>
      <c r="I620" s="360">
        <v>23.0</v>
      </c>
      <c r="J620" s="27"/>
      <c r="K620" s="27"/>
      <c r="M620" s="330"/>
    </row>
    <row r="621">
      <c r="A621" s="221"/>
      <c r="B621" s="232"/>
      <c r="C621" s="232"/>
      <c r="D621" s="232"/>
      <c r="E621" s="232"/>
      <c r="F621" s="232"/>
      <c r="G621" s="232"/>
      <c r="H621" s="221"/>
      <c r="I621" s="360">
        <v>24.0</v>
      </c>
      <c r="J621" s="368" t="s">
        <v>919</v>
      </c>
      <c r="K621" s="369" t="s">
        <v>628</v>
      </c>
      <c r="M621" s="330"/>
    </row>
    <row r="622">
      <c r="A622" s="221"/>
      <c r="B622" s="232"/>
      <c r="C622" s="232"/>
      <c r="D622" s="232"/>
      <c r="E622" s="232"/>
      <c r="F622" s="232"/>
      <c r="G622" s="232"/>
      <c r="H622" s="221"/>
      <c r="I622" s="360">
        <v>25.0</v>
      </c>
      <c r="J622" s="20"/>
      <c r="K622" s="20"/>
      <c r="M622" s="330"/>
    </row>
    <row r="623">
      <c r="A623" s="221"/>
      <c r="B623" s="232"/>
      <c r="C623" s="232"/>
      <c r="D623" s="232"/>
      <c r="E623" s="232"/>
      <c r="F623" s="232"/>
      <c r="G623" s="232"/>
      <c r="H623" s="221"/>
      <c r="I623" s="360">
        <v>26.0</v>
      </c>
      <c r="J623" s="20"/>
      <c r="K623" s="20"/>
      <c r="M623" s="330"/>
    </row>
    <row r="624">
      <c r="A624" s="221"/>
      <c r="B624" s="232"/>
      <c r="C624" s="232"/>
      <c r="D624" s="232"/>
      <c r="E624" s="232"/>
      <c r="F624" s="232"/>
      <c r="G624" s="232"/>
      <c r="H624" s="221"/>
      <c r="I624" s="360">
        <v>27.0</v>
      </c>
      <c r="J624" s="20"/>
      <c r="K624" s="20"/>
      <c r="M624" s="330"/>
    </row>
    <row r="625">
      <c r="A625" s="221"/>
      <c r="B625" s="232"/>
      <c r="C625" s="232"/>
      <c r="D625" s="232"/>
      <c r="E625" s="232"/>
      <c r="F625" s="232"/>
      <c r="G625" s="232"/>
      <c r="H625" s="221"/>
      <c r="I625" s="360">
        <v>28.0</v>
      </c>
      <c r="J625" s="20"/>
      <c r="K625" s="20"/>
      <c r="M625" s="330"/>
    </row>
    <row r="626">
      <c r="A626" s="221"/>
      <c r="B626" s="232"/>
      <c r="C626" s="232"/>
      <c r="D626" s="232"/>
      <c r="E626" s="232"/>
      <c r="F626" s="232"/>
      <c r="G626" s="232"/>
      <c r="H626" s="221"/>
      <c r="I626" s="360">
        <v>29.0</v>
      </c>
      <c r="J626" s="20"/>
      <c r="K626" s="20"/>
      <c r="M626" s="330"/>
    </row>
    <row r="627">
      <c r="A627" s="221"/>
      <c r="B627" s="232"/>
      <c r="C627" s="232"/>
      <c r="D627" s="232"/>
      <c r="E627" s="232"/>
      <c r="F627" s="232"/>
      <c r="G627" s="232"/>
      <c r="H627" s="221"/>
      <c r="I627" s="370">
        <v>30.0</v>
      </c>
      <c r="J627" s="20"/>
      <c r="K627" s="20"/>
      <c r="M627" s="330"/>
    </row>
    <row r="628">
      <c r="A628" s="221"/>
      <c r="B628" s="232"/>
      <c r="C628" s="232"/>
      <c r="D628" s="232"/>
      <c r="E628" s="232"/>
      <c r="F628" s="232"/>
      <c r="G628" s="232"/>
      <c r="H628" s="221"/>
      <c r="I628" s="360">
        <v>31.0</v>
      </c>
      <c r="J628" s="27"/>
      <c r="K628" s="27"/>
      <c r="L628" s="4"/>
      <c r="M628" s="330"/>
    </row>
  </sheetData>
  <mergeCells count="70">
    <mergeCell ref="B1:L1"/>
    <mergeCell ref="A2:L3"/>
    <mergeCell ref="J4:L5"/>
    <mergeCell ref="A6:L7"/>
    <mergeCell ref="A8:A9"/>
    <mergeCell ref="C8:G8"/>
    <mergeCell ref="J8:L9"/>
    <mergeCell ref="L121:L122"/>
    <mergeCell ref="L123:L124"/>
    <mergeCell ref="L130:L131"/>
    <mergeCell ref="L140:L141"/>
    <mergeCell ref="K175:K176"/>
    <mergeCell ref="K191:K192"/>
    <mergeCell ref="I194:L196"/>
    <mergeCell ref="I197:L197"/>
    <mergeCell ref="J223:J230"/>
    <mergeCell ref="K223:K230"/>
    <mergeCell ref="I231:L231"/>
    <mergeCell ref="I232:L232"/>
    <mergeCell ref="J234:J235"/>
    <mergeCell ref="K234:K235"/>
    <mergeCell ref="J236:J238"/>
    <mergeCell ref="K236:K238"/>
    <mergeCell ref="J240:J242"/>
    <mergeCell ref="K240:K242"/>
    <mergeCell ref="J243:J245"/>
    <mergeCell ref="K243:K245"/>
    <mergeCell ref="J246:J247"/>
    <mergeCell ref="K246:K247"/>
    <mergeCell ref="J248:J249"/>
    <mergeCell ref="K248:K249"/>
    <mergeCell ref="J250:J251"/>
    <mergeCell ref="K250:K251"/>
    <mergeCell ref="K611:K612"/>
    <mergeCell ref="J616:J620"/>
    <mergeCell ref="K616:K620"/>
    <mergeCell ref="J621:J628"/>
    <mergeCell ref="K621:K628"/>
    <mergeCell ref="I266:L266"/>
    <mergeCell ref="I521:L521"/>
    <mergeCell ref="L541:L546"/>
    <mergeCell ref="K564:K569"/>
    <mergeCell ref="I595:L595"/>
    <mergeCell ref="L597:L628"/>
    <mergeCell ref="K609:K610"/>
    <mergeCell ref="L199:L230"/>
    <mergeCell ref="J211:J212"/>
    <mergeCell ref="K211:K212"/>
    <mergeCell ref="J213:J214"/>
    <mergeCell ref="K213:K214"/>
    <mergeCell ref="J221:J222"/>
    <mergeCell ref="K221:K222"/>
    <mergeCell ref="J252:J254"/>
    <mergeCell ref="K252:K254"/>
    <mergeCell ref="I253:I254"/>
    <mergeCell ref="J255:J256"/>
    <mergeCell ref="K255:K256"/>
    <mergeCell ref="J258:J259"/>
    <mergeCell ref="K258:K259"/>
    <mergeCell ref="J261:J262"/>
    <mergeCell ref="K261:K262"/>
    <mergeCell ref="D9:G9"/>
    <mergeCell ref="A10:L11"/>
    <mergeCell ref="B12:L12"/>
    <mergeCell ref="A13:H489"/>
    <mergeCell ref="I14:L14"/>
    <mergeCell ref="L56:L65"/>
    <mergeCell ref="L108:L110"/>
    <mergeCell ref="J609:J610"/>
    <mergeCell ref="J611:J61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8.25"/>
    <col customWidth="1" min="2" max="2" width="85.63"/>
    <col customWidth="1" min="3" max="3" width="28.75"/>
    <col customWidth="1" min="4" max="4" width="98.13"/>
    <col customWidth="1" min="5" max="5" width="12.0"/>
  </cols>
  <sheetData>
    <row r="1">
      <c r="A1" s="371" t="s">
        <v>920</v>
      </c>
      <c r="B1" s="372" t="s">
        <v>921</v>
      </c>
      <c r="C1" s="372" t="s">
        <v>922</v>
      </c>
      <c r="D1" s="372" t="s">
        <v>923</v>
      </c>
      <c r="E1" s="373" t="s">
        <v>924</v>
      </c>
    </row>
    <row r="2">
      <c r="A2" s="374" t="s">
        <v>925</v>
      </c>
      <c r="B2" s="375" t="s">
        <v>926</v>
      </c>
      <c r="C2" s="375"/>
      <c r="D2" s="375" t="s">
        <v>927</v>
      </c>
      <c r="E2" s="374"/>
    </row>
    <row r="3">
      <c r="A3" s="374" t="s">
        <v>928</v>
      </c>
      <c r="B3" s="375" t="s">
        <v>929</v>
      </c>
      <c r="C3" s="375"/>
      <c r="D3" s="375"/>
      <c r="E3" s="374"/>
    </row>
    <row r="4">
      <c r="A4" s="374" t="s">
        <v>930</v>
      </c>
      <c r="B4" s="375"/>
      <c r="C4" s="375"/>
      <c r="D4" s="375"/>
      <c r="E4" s="374"/>
    </row>
    <row r="5">
      <c r="A5" s="374" t="s">
        <v>931</v>
      </c>
      <c r="B5" s="375"/>
      <c r="C5" s="375"/>
      <c r="D5" s="375"/>
      <c r="E5" s="374"/>
    </row>
    <row r="6">
      <c r="A6" s="374" t="s">
        <v>932</v>
      </c>
      <c r="B6" s="375"/>
      <c r="C6" s="375"/>
      <c r="D6" s="375"/>
      <c r="E6" s="374"/>
    </row>
    <row r="7">
      <c r="A7" s="374" t="s">
        <v>933</v>
      </c>
      <c r="B7" s="375"/>
      <c r="C7" s="375"/>
      <c r="D7" s="375"/>
      <c r="E7" s="374"/>
    </row>
    <row r="8">
      <c r="A8" s="374" t="s">
        <v>934</v>
      </c>
      <c r="B8" s="375"/>
      <c r="C8" s="375"/>
      <c r="D8" s="375"/>
      <c r="E8" s="374"/>
    </row>
    <row r="9">
      <c r="A9" s="374" t="s">
        <v>935</v>
      </c>
      <c r="B9" s="375" t="s">
        <v>936</v>
      </c>
      <c r="C9" s="375"/>
      <c r="D9" s="375" t="s">
        <v>937</v>
      </c>
      <c r="E9" s="374"/>
    </row>
    <row r="10">
      <c r="A10" s="374" t="s">
        <v>938</v>
      </c>
      <c r="B10" s="375"/>
      <c r="C10" s="375"/>
      <c r="D10" s="375"/>
      <c r="E10" s="374"/>
    </row>
    <row r="11">
      <c r="A11" s="374" t="s">
        <v>939</v>
      </c>
      <c r="B11" s="375"/>
      <c r="C11" s="375"/>
      <c r="D11" s="375"/>
      <c r="E11" s="374"/>
    </row>
    <row r="12">
      <c r="A12" s="374" t="s">
        <v>940</v>
      </c>
      <c r="B12" s="375"/>
      <c r="C12" s="375"/>
      <c r="D12" s="375"/>
      <c r="E12" s="374"/>
    </row>
    <row r="13">
      <c r="A13" s="374" t="s">
        <v>941</v>
      </c>
      <c r="B13" s="375"/>
      <c r="C13" s="375"/>
      <c r="D13" s="375"/>
      <c r="E13" s="374"/>
    </row>
    <row r="14">
      <c r="A14" s="374" t="s">
        <v>942</v>
      </c>
      <c r="B14" s="375"/>
      <c r="C14" s="375"/>
      <c r="D14" s="375"/>
      <c r="E14" s="374"/>
    </row>
    <row r="15">
      <c r="A15" s="374" t="s">
        <v>943</v>
      </c>
      <c r="B15" s="375" t="s">
        <v>944</v>
      </c>
      <c r="C15" s="375"/>
      <c r="D15" s="375" t="s">
        <v>945</v>
      </c>
      <c r="E15" s="374"/>
    </row>
    <row r="16">
      <c r="A16" s="374" t="s">
        <v>946</v>
      </c>
      <c r="B16" s="375"/>
      <c r="C16" s="375" t="s">
        <v>947</v>
      </c>
      <c r="D16" s="375"/>
      <c r="E16" s="374"/>
    </row>
    <row r="17">
      <c r="A17" s="374" t="s">
        <v>948</v>
      </c>
      <c r="B17" s="375" t="s">
        <v>949</v>
      </c>
      <c r="C17" s="375"/>
      <c r="D17" s="375" t="s">
        <v>950</v>
      </c>
      <c r="E17" s="374"/>
    </row>
    <row r="18">
      <c r="A18" s="374" t="s">
        <v>951</v>
      </c>
      <c r="B18" s="375" t="s">
        <v>952</v>
      </c>
      <c r="C18" s="375"/>
      <c r="D18" s="375" t="s">
        <v>953</v>
      </c>
      <c r="E18" s="374"/>
    </row>
    <row r="19">
      <c r="A19" s="374" t="s">
        <v>954</v>
      </c>
      <c r="B19" s="375" t="s">
        <v>955</v>
      </c>
      <c r="C19" s="375"/>
      <c r="D19" s="375"/>
      <c r="E19" s="374"/>
    </row>
    <row r="20">
      <c r="A20" s="374" t="s">
        <v>956</v>
      </c>
      <c r="B20" s="375" t="s">
        <v>957</v>
      </c>
      <c r="C20" s="375"/>
      <c r="D20" s="375"/>
      <c r="E20" s="374"/>
    </row>
    <row r="21">
      <c r="A21" s="374" t="s">
        <v>958</v>
      </c>
      <c r="B21" s="375" t="s">
        <v>959</v>
      </c>
      <c r="C21" s="375" t="s">
        <v>960</v>
      </c>
      <c r="D21" s="375" t="s">
        <v>961</v>
      </c>
      <c r="E21" s="374" t="s">
        <v>962</v>
      </c>
    </row>
    <row r="22">
      <c r="A22" s="374" t="s">
        <v>963</v>
      </c>
      <c r="B22" s="375" t="s">
        <v>964</v>
      </c>
      <c r="C22" s="376" t="s">
        <v>965</v>
      </c>
      <c r="D22" s="375" t="s">
        <v>966</v>
      </c>
      <c r="E22" s="377">
        <v>42459.0</v>
      </c>
    </row>
    <row r="23">
      <c r="A23" s="374" t="s">
        <v>967</v>
      </c>
      <c r="B23" s="375" t="s">
        <v>968</v>
      </c>
      <c r="C23" s="378"/>
      <c r="D23" s="375"/>
      <c r="E23" s="377">
        <v>42447.0</v>
      </c>
    </row>
    <row r="24">
      <c r="A24" s="374" t="s">
        <v>969</v>
      </c>
      <c r="B24" s="375" t="s">
        <v>970</v>
      </c>
      <c r="C24" s="378"/>
      <c r="D24" s="375"/>
      <c r="E24" s="377">
        <v>42440.0</v>
      </c>
    </row>
    <row r="25">
      <c r="A25" s="374" t="s">
        <v>971</v>
      </c>
      <c r="B25" s="375" t="s">
        <v>972</v>
      </c>
      <c r="C25" s="378"/>
      <c r="D25" s="375"/>
      <c r="E25" s="377">
        <v>42433.0</v>
      </c>
    </row>
    <row r="26">
      <c r="A26" s="374" t="s">
        <v>973</v>
      </c>
      <c r="B26" s="375" t="s">
        <v>974</v>
      </c>
      <c r="C26" s="378"/>
      <c r="D26" s="375" t="s">
        <v>975</v>
      </c>
      <c r="E26" s="377">
        <v>42430.0</v>
      </c>
    </row>
    <row r="27">
      <c r="A27" s="374" t="s">
        <v>976</v>
      </c>
      <c r="B27" s="375" t="s">
        <v>977</v>
      </c>
      <c r="C27" s="378"/>
      <c r="D27" s="375"/>
      <c r="E27" s="377">
        <v>42417.0</v>
      </c>
    </row>
    <row r="28">
      <c r="A28" s="374" t="s">
        <v>978</v>
      </c>
      <c r="B28" s="375" t="s">
        <v>955</v>
      </c>
      <c r="C28" s="378"/>
      <c r="D28" s="375"/>
      <c r="E28" s="377"/>
    </row>
    <row r="29">
      <c r="A29" s="374" t="s">
        <v>979</v>
      </c>
      <c r="B29" s="375" t="s">
        <v>980</v>
      </c>
      <c r="C29" s="378"/>
      <c r="D29" s="375"/>
      <c r="E29" s="377"/>
    </row>
    <row r="30">
      <c r="A30" s="374" t="s">
        <v>981</v>
      </c>
      <c r="B30" s="375" t="s">
        <v>982</v>
      </c>
      <c r="C30" s="378"/>
      <c r="D30" s="375" t="s">
        <v>983</v>
      </c>
      <c r="E30" s="377"/>
    </row>
    <row r="31">
      <c r="A31" s="374" t="s">
        <v>984</v>
      </c>
      <c r="B31" s="375" t="s">
        <v>985</v>
      </c>
      <c r="C31" s="375" t="s">
        <v>986</v>
      </c>
      <c r="D31" s="375"/>
      <c r="E31" s="377"/>
    </row>
    <row r="32">
      <c r="A32" s="374" t="s">
        <v>987</v>
      </c>
      <c r="B32" s="375" t="s">
        <v>988</v>
      </c>
      <c r="C32" s="375" t="s">
        <v>989</v>
      </c>
      <c r="D32" s="375" t="s">
        <v>990</v>
      </c>
      <c r="E32" s="377"/>
    </row>
    <row r="33">
      <c r="A33" s="374" t="s">
        <v>991</v>
      </c>
      <c r="B33" s="375" t="s">
        <v>992</v>
      </c>
      <c r="C33" s="375" t="s">
        <v>986</v>
      </c>
      <c r="D33" s="375" t="s">
        <v>993</v>
      </c>
      <c r="E33" s="377"/>
    </row>
    <row r="34">
      <c r="A34" s="374" t="s">
        <v>994</v>
      </c>
      <c r="B34" s="375" t="s">
        <v>995</v>
      </c>
      <c r="C34" s="375" t="s">
        <v>996</v>
      </c>
      <c r="D34" s="375" t="s">
        <v>997</v>
      </c>
      <c r="E34" s="377"/>
    </row>
    <row r="35">
      <c r="A35" s="374" t="s">
        <v>998</v>
      </c>
      <c r="B35" s="375" t="s">
        <v>999</v>
      </c>
      <c r="C35" s="375" t="s">
        <v>986</v>
      </c>
      <c r="D35" s="375" t="s">
        <v>1000</v>
      </c>
      <c r="E35" s="377">
        <v>42362.0</v>
      </c>
    </row>
    <row r="36">
      <c r="A36" s="374" t="s">
        <v>1001</v>
      </c>
      <c r="B36" s="375" t="s">
        <v>1002</v>
      </c>
      <c r="C36" s="375" t="s">
        <v>1003</v>
      </c>
      <c r="D36" s="375" t="s">
        <v>1004</v>
      </c>
      <c r="E36" s="377">
        <v>42355.0</v>
      </c>
    </row>
    <row r="37">
      <c r="A37" s="374" t="s">
        <v>1005</v>
      </c>
      <c r="B37" s="375" t="s">
        <v>1006</v>
      </c>
      <c r="C37" s="375" t="s">
        <v>1007</v>
      </c>
      <c r="D37" s="375" t="s">
        <v>1008</v>
      </c>
      <c r="E37" s="377">
        <v>42342.0</v>
      </c>
    </row>
    <row r="38">
      <c r="A38" s="374" t="s">
        <v>1009</v>
      </c>
      <c r="B38" s="375" t="s">
        <v>1010</v>
      </c>
      <c r="C38" s="375" t="s">
        <v>1011</v>
      </c>
      <c r="D38" s="375" t="s">
        <v>1012</v>
      </c>
      <c r="E38" s="377">
        <v>42339.0</v>
      </c>
    </row>
    <row r="39">
      <c r="A39" s="379" t="s">
        <v>1013</v>
      </c>
      <c r="B39" s="375" t="s">
        <v>1014</v>
      </c>
      <c r="C39" s="378"/>
      <c r="D39" s="375" t="s">
        <v>1015</v>
      </c>
      <c r="E39" s="377">
        <v>42331.0</v>
      </c>
    </row>
    <row r="40">
      <c r="A40" s="379" t="s">
        <v>1016</v>
      </c>
      <c r="B40" s="375" t="s">
        <v>1017</v>
      </c>
      <c r="C40" s="378"/>
      <c r="D40" s="375" t="s">
        <v>1018</v>
      </c>
      <c r="E40" s="377">
        <v>42328.0</v>
      </c>
    </row>
    <row r="41">
      <c r="A41" s="379" t="s">
        <v>1019</v>
      </c>
      <c r="B41" s="375" t="s">
        <v>1020</v>
      </c>
      <c r="C41" s="378"/>
      <c r="D41" s="375" t="s">
        <v>1021</v>
      </c>
      <c r="E41" s="377">
        <v>42327.0</v>
      </c>
    </row>
    <row r="42">
      <c r="A42" s="379" t="s">
        <v>1022</v>
      </c>
      <c r="B42" s="375" t="s">
        <v>1023</v>
      </c>
      <c r="C42" s="375"/>
      <c r="D42" s="375" t="s">
        <v>1024</v>
      </c>
      <c r="E42" s="377">
        <v>42326.0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5.13"/>
    <col customWidth="1" min="3" max="3" width="23.5"/>
    <col customWidth="1" min="4" max="4" width="22.25"/>
    <col customWidth="1" min="5" max="5" width="22.38"/>
    <col customWidth="1" min="6" max="6" width="52.25"/>
    <col customWidth="1" min="7" max="7" width="46.75"/>
    <col customWidth="1" min="8" max="8" width="34.75"/>
    <col customWidth="1" min="9" max="20" width="15.13"/>
  </cols>
  <sheetData>
    <row r="1">
      <c r="B1" s="220"/>
      <c r="C1" s="220"/>
      <c r="D1" s="220"/>
      <c r="E1" s="220"/>
      <c r="F1" s="220"/>
      <c r="G1" s="220"/>
    </row>
    <row r="2">
      <c r="B2" s="70" t="s">
        <v>1025</v>
      </c>
      <c r="G2" s="220"/>
    </row>
    <row r="3">
      <c r="B3" s="380" t="s">
        <v>1026</v>
      </c>
      <c r="C3" s="381" t="s">
        <v>1027</v>
      </c>
      <c r="D3" s="382" t="s">
        <v>1028</v>
      </c>
      <c r="F3" s="220"/>
      <c r="G3" s="220"/>
    </row>
    <row r="4">
      <c r="B4" s="220"/>
      <c r="C4" s="220"/>
      <c r="D4" s="220"/>
      <c r="E4" s="220"/>
      <c r="F4" s="220"/>
      <c r="G4" s="220"/>
    </row>
    <row r="5">
      <c r="B5" s="70" t="s">
        <v>1029</v>
      </c>
      <c r="F5" s="220"/>
      <c r="G5" s="220"/>
    </row>
    <row r="6">
      <c r="B6" s="380" t="s">
        <v>1030</v>
      </c>
      <c r="C6" s="381" t="s">
        <v>1031</v>
      </c>
      <c r="D6" s="382" t="s">
        <v>1032</v>
      </c>
      <c r="F6" s="220"/>
      <c r="G6" s="220"/>
    </row>
    <row r="7">
      <c r="B7" s="220"/>
      <c r="C7" s="220"/>
      <c r="D7" s="220"/>
      <c r="E7" s="220"/>
      <c r="F7" s="220"/>
      <c r="G7" s="220"/>
    </row>
    <row r="8">
      <c r="A8" s="48"/>
      <c r="B8" s="70" t="s">
        <v>1033</v>
      </c>
      <c r="F8" s="220"/>
      <c r="G8" s="220"/>
    </row>
    <row r="9">
      <c r="A9" s="48"/>
      <c r="B9" s="220"/>
      <c r="C9" s="220"/>
      <c r="D9" s="220"/>
      <c r="E9" s="220"/>
      <c r="F9" s="220"/>
      <c r="G9" s="220"/>
    </row>
    <row r="10">
      <c r="A10" s="48"/>
      <c r="B10" s="383" t="s">
        <v>1034</v>
      </c>
      <c r="C10" s="4"/>
      <c r="D10" s="4"/>
      <c r="E10" s="4"/>
      <c r="F10" s="204"/>
      <c r="G10" s="204"/>
      <c r="H10" s="4"/>
    </row>
    <row r="11">
      <c r="A11" s="20"/>
      <c r="B11" s="384" t="s">
        <v>1035</v>
      </c>
      <c r="C11" s="384" t="s">
        <v>1036</v>
      </c>
      <c r="D11" s="384" t="s">
        <v>1037</v>
      </c>
      <c r="E11" s="384" t="s">
        <v>1038</v>
      </c>
      <c r="F11" s="8" t="s">
        <v>1039</v>
      </c>
      <c r="G11" s="385" t="s">
        <v>1040</v>
      </c>
      <c r="H11" s="386" t="s">
        <v>1041</v>
      </c>
      <c r="I11" s="48"/>
    </row>
    <row r="12">
      <c r="B12" s="387" t="s">
        <v>532</v>
      </c>
      <c r="C12" s="387" t="s">
        <v>1042</v>
      </c>
      <c r="D12" s="387" t="s">
        <v>1042</v>
      </c>
      <c r="E12" s="387" t="s">
        <v>1042</v>
      </c>
      <c r="F12" s="388"/>
      <c r="G12" s="388"/>
      <c r="H12" s="54"/>
    </row>
    <row r="13">
      <c r="B13" s="220"/>
      <c r="C13" s="220"/>
      <c r="D13" s="220"/>
      <c r="E13" s="220"/>
      <c r="F13" s="220"/>
      <c r="G13" s="220"/>
    </row>
    <row r="14">
      <c r="B14" s="220"/>
      <c r="C14" s="220"/>
      <c r="D14" s="220"/>
      <c r="E14" s="220"/>
      <c r="F14" s="220"/>
      <c r="G14" s="220"/>
    </row>
    <row r="15">
      <c r="B15" s="389" t="s">
        <v>1043</v>
      </c>
    </row>
    <row r="16">
      <c r="B16" s="389" t="s">
        <v>1044</v>
      </c>
    </row>
    <row r="17">
      <c r="A17" s="48"/>
      <c r="B17" s="220"/>
      <c r="C17" s="220"/>
      <c r="D17" s="220"/>
      <c r="E17" s="220"/>
      <c r="F17" s="220"/>
      <c r="G17" s="220"/>
    </row>
    <row r="18">
      <c r="A18" s="48"/>
      <c r="B18" s="220"/>
      <c r="C18" s="220"/>
      <c r="D18" s="220"/>
      <c r="E18" s="220"/>
      <c r="F18" s="220"/>
      <c r="G18" s="220"/>
    </row>
    <row r="19">
      <c r="A19" s="48"/>
      <c r="B19" s="220"/>
      <c r="C19" s="220"/>
      <c r="D19" s="220"/>
      <c r="E19" s="220"/>
      <c r="F19" s="220"/>
      <c r="G19" s="220"/>
    </row>
    <row r="20">
      <c r="B20" s="220"/>
      <c r="C20" s="220"/>
      <c r="D20" s="220"/>
      <c r="E20" s="220"/>
      <c r="F20" s="220"/>
      <c r="G20" s="220"/>
    </row>
    <row r="21">
      <c r="B21" s="220"/>
      <c r="C21" s="220"/>
      <c r="D21" s="220"/>
      <c r="E21" s="220"/>
      <c r="F21" s="220"/>
      <c r="G21" s="220"/>
    </row>
    <row r="22">
      <c r="B22" s="109" t="s">
        <v>1045</v>
      </c>
      <c r="C22" s="109" t="s">
        <v>1046</v>
      </c>
      <c r="D22" s="109" t="s">
        <v>1047</v>
      </c>
      <c r="E22" s="109" t="s">
        <v>1048</v>
      </c>
      <c r="F22" s="109" t="s">
        <v>1049</v>
      </c>
      <c r="G22" s="109" t="s">
        <v>1050</v>
      </c>
    </row>
    <row r="23">
      <c r="A23" s="4"/>
      <c r="B23" s="204"/>
      <c r="C23" s="204"/>
      <c r="D23" s="204"/>
      <c r="E23" s="204"/>
      <c r="F23" s="204"/>
      <c r="G23" s="204"/>
    </row>
    <row r="24">
      <c r="A24" s="390" t="s">
        <v>1041</v>
      </c>
      <c r="B24" s="391">
        <v>7.0</v>
      </c>
      <c r="C24" s="391" t="s">
        <v>1051</v>
      </c>
      <c r="D24" s="392"/>
      <c r="E24" s="393" t="s">
        <v>1042</v>
      </c>
      <c r="F24" s="208"/>
      <c r="G24" s="394" t="s">
        <v>1052</v>
      </c>
      <c r="H24" s="48"/>
    </row>
    <row r="25">
      <c r="A25" s="15"/>
      <c r="B25" s="391">
        <v>6.0</v>
      </c>
      <c r="C25" s="391" t="s">
        <v>1053</v>
      </c>
      <c r="D25" s="208"/>
      <c r="E25" s="393" t="s">
        <v>1042</v>
      </c>
      <c r="F25" s="208"/>
      <c r="G25" s="393" t="s">
        <v>1054</v>
      </c>
      <c r="H25" s="48"/>
    </row>
    <row r="26">
      <c r="A26" s="15"/>
      <c r="B26" s="391">
        <v>5.0</v>
      </c>
      <c r="C26" s="391" t="s">
        <v>1055</v>
      </c>
      <c r="D26" s="208"/>
      <c r="E26" s="393" t="s">
        <v>1042</v>
      </c>
      <c r="F26" s="208"/>
      <c r="G26" s="393" t="s">
        <v>1056</v>
      </c>
      <c r="H26" s="48"/>
    </row>
    <row r="27">
      <c r="A27" s="15"/>
      <c r="B27" s="391">
        <v>4.0</v>
      </c>
      <c r="C27" s="391" t="s">
        <v>1057</v>
      </c>
      <c r="D27" s="208"/>
      <c r="E27" s="393" t="s">
        <v>1042</v>
      </c>
      <c r="F27" s="208"/>
      <c r="G27" s="393" t="s">
        <v>1058</v>
      </c>
      <c r="H27" s="48"/>
    </row>
    <row r="28">
      <c r="A28" s="15"/>
      <c r="B28" s="395">
        <v>3.0</v>
      </c>
      <c r="C28" s="396" t="s">
        <v>1059</v>
      </c>
      <c r="D28" s="387" t="s">
        <v>1060</v>
      </c>
      <c r="E28" s="387" t="s">
        <v>1061</v>
      </c>
      <c r="F28" s="388"/>
      <c r="G28" s="397" t="s">
        <v>1062</v>
      </c>
      <c r="H28" s="48"/>
    </row>
    <row r="29">
      <c r="A29" s="15"/>
      <c r="B29" s="48"/>
      <c r="D29" s="70" t="s">
        <v>1063</v>
      </c>
      <c r="E29" s="70" t="s">
        <v>1064</v>
      </c>
      <c r="F29" s="220"/>
      <c r="G29" s="398" t="s">
        <v>1065</v>
      </c>
      <c r="H29" s="48"/>
    </row>
    <row r="30">
      <c r="A30" s="15"/>
      <c r="B30" s="48"/>
      <c r="D30" s="70" t="s">
        <v>1066</v>
      </c>
      <c r="E30" s="70" t="s">
        <v>1067</v>
      </c>
      <c r="F30" s="220"/>
      <c r="G30" s="398" t="s">
        <v>1068</v>
      </c>
      <c r="H30" s="48"/>
    </row>
    <row r="31">
      <c r="A31" s="15"/>
      <c r="B31" s="48"/>
      <c r="D31" s="70" t="s">
        <v>1069</v>
      </c>
      <c r="E31" s="70" t="s">
        <v>1070</v>
      </c>
      <c r="F31" s="220"/>
      <c r="G31" s="398" t="s">
        <v>1071</v>
      </c>
      <c r="H31" s="48"/>
    </row>
    <row r="32" ht="24.0" customHeight="1">
      <c r="A32" s="15"/>
      <c r="B32" s="48"/>
      <c r="D32" s="70" t="s">
        <v>1072</v>
      </c>
      <c r="E32" s="70" t="s">
        <v>1073</v>
      </c>
      <c r="F32" s="220"/>
      <c r="G32" s="398" t="s">
        <v>1074</v>
      </c>
      <c r="H32" s="48"/>
    </row>
    <row r="33">
      <c r="A33" s="15"/>
      <c r="B33" s="48"/>
      <c r="D33" s="70" t="s">
        <v>1075</v>
      </c>
      <c r="E33" s="70" t="s">
        <v>1076</v>
      </c>
      <c r="F33" s="220"/>
      <c r="G33" s="398" t="s">
        <v>1077</v>
      </c>
      <c r="H33" s="48"/>
    </row>
    <row r="34">
      <c r="A34" s="15"/>
      <c r="B34" s="48"/>
      <c r="D34" s="70" t="s">
        <v>1078</v>
      </c>
      <c r="E34" s="70" t="s">
        <v>1079</v>
      </c>
      <c r="F34" s="220"/>
      <c r="G34" s="398" t="s">
        <v>1080</v>
      </c>
      <c r="H34" s="48"/>
    </row>
    <row r="35">
      <c r="A35" s="15"/>
      <c r="B35" s="30"/>
      <c r="C35" s="4"/>
      <c r="D35" s="383" t="s">
        <v>1081</v>
      </c>
      <c r="E35" s="383" t="s">
        <v>1082</v>
      </c>
      <c r="F35" s="204"/>
      <c r="G35" s="399" t="s">
        <v>1083</v>
      </c>
      <c r="H35" s="48"/>
    </row>
    <row r="36">
      <c r="A36" s="15"/>
      <c r="B36" s="395">
        <v>2.0</v>
      </c>
      <c r="C36" s="396" t="s">
        <v>1084</v>
      </c>
      <c r="D36" s="396" t="s">
        <v>1085</v>
      </c>
      <c r="E36" s="396" t="s">
        <v>1086</v>
      </c>
      <c r="F36" s="396" t="s">
        <v>1087</v>
      </c>
      <c r="G36" s="400" t="s">
        <v>626</v>
      </c>
      <c r="H36" s="48"/>
    </row>
    <row r="37">
      <c r="A37" s="15"/>
      <c r="B37" s="30"/>
      <c r="C37" s="4"/>
      <c r="D37" s="401" t="s">
        <v>1088</v>
      </c>
      <c r="E37" s="401" t="s">
        <v>1089</v>
      </c>
      <c r="F37" s="401" t="s">
        <v>1090</v>
      </c>
      <c r="G37" s="402" t="s">
        <v>1091</v>
      </c>
      <c r="H37" s="48"/>
    </row>
    <row r="38">
      <c r="A38" s="15"/>
      <c r="B38" s="391">
        <v>1.0</v>
      </c>
      <c r="C38" s="393" t="s">
        <v>1092</v>
      </c>
      <c r="D38" s="393" t="s">
        <v>1092</v>
      </c>
      <c r="E38" s="393" t="s">
        <v>1042</v>
      </c>
      <c r="F38" s="393" t="s">
        <v>1092</v>
      </c>
      <c r="G38" s="393" t="s">
        <v>1093</v>
      </c>
      <c r="H38" s="48"/>
    </row>
    <row r="39">
      <c r="A39" s="25"/>
      <c r="B39" s="403">
        <v>0.0</v>
      </c>
      <c r="C39" s="393" t="s">
        <v>1094</v>
      </c>
      <c r="D39" s="393" t="s">
        <v>1094</v>
      </c>
      <c r="E39" s="393" t="s">
        <v>1042</v>
      </c>
      <c r="F39" s="393" t="s">
        <v>1094</v>
      </c>
      <c r="G39" s="393" t="s">
        <v>1093</v>
      </c>
      <c r="H39" s="48"/>
    </row>
    <row r="40">
      <c r="A40" s="404"/>
      <c r="B40" s="388"/>
      <c r="C40" s="405"/>
      <c r="D40" s="405"/>
      <c r="E40" s="405"/>
      <c r="F40" s="405"/>
      <c r="G40" s="405"/>
    </row>
    <row r="41">
      <c r="A41" s="406"/>
      <c r="B41" s="204"/>
      <c r="C41" s="407"/>
      <c r="D41" s="407"/>
      <c r="E41" s="407"/>
      <c r="F41" s="407"/>
      <c r="G41" s="407"/>
    </row>
    <row r="42" ht="15.0" customHeight="1">
      <c r="A42" s="390" t="s">
        <v>1040</v>
      </c>
      <c r="B42" s="393">
        <v>7.0</v>
      </c>
      <c r="C42" s="393" t="s">
        <v>1095</v>
      </c>
      <c r="D42" s="408" t="s">
        <v>1096</v>
      </c>
      <c r="E42" s="393" t="s">
        <v>1097</v>
      </c>
      <c r="F42" s="393"/>
      <c r="G42" s="409" t="s">
        <v>1098</v>
      </c>
      <c r="H42" s="48"/>
    </row>
    <row r="43">
      <c r="A43" s="15"/>
      <c r="B43" s="393">
        <v>6.0</v>
      </c>
      <c r="C43" s="393" t="s">
        <v>1099</v>
      </c>
      <c r="D43" s="393" t="s">
        <v>1100</v>
      </c>
      <c r="E43" s="393" t="s">
        <v>1097</v>
      </c>
      <c r="F43" s="393"/>
      <c r="G43" s="393" t="s">
        <v>1098</v>
      </c>
      <c r="H43" s="48"/>
    </row>
    <row r="44">
      <c r="A44" s="15"/>
      <c r="B44" s="393">
        <v>5.0</v>
      </c>
      <c r="C44" s="408" t="s">
        <v>1101</v>
      </c>
      <c r="D44" s="393" t="s">
        <v>1102</v>
      </c>
      <c r="E44" s="393" t="s">
        <v>1097</v>
      </c>
      <c r="F44" s="393"/>
      <c r="G44" s="393" t="s">
        <v>1098</v>
      </c>
      <c r="H44" s="48"/>
    </row>
    <row r="45">
      <c r="A45" s="15"/>
      <c r="B45" s="393">
        <v>4.0</v>
      </c>
      <c r="C45" s="393" t="s">
        <v>1103</v>
      </c>
      <c r="D45" s="393" t="s">
        <v>1104</v>
      </c>
      <c r="E45" s="393" t="s">
        <v>1097</v>
      </c>
      <c r="F45" s="393"/>
      <c r="G45" s="393" t="s">
        <v>1098</v>
      </c>
      <c r="H45" s="48"/>
    </row>
    <row r="46" ht="16.5" customHeight="1">
      <c r="A46" s="15"/>
      <c r="B46" s="393">
        <v>3.0</v>
      </c>
      <c r="C46" s="393" t="s">
        <v>1105</v>
      </c>
      <c r="D46" s="393" t="s">
        <v>1106</v>
      </c>
      <c r="E46" s="393" t="s">
        <v>1097</v>
      </c>
      <c r="F46" s="393" t="s">
        <v>1107</v>
      </c>
      <c r="G46" s="393" t="s">
        <v>1108</v>
      </c>
      <c r="H46" s="48"/>
    </row>
    <row r="47">
      <c r="A47" s="15"/>
      <c r="B47" s="393">
        <v>2.0</v>
      </c>
      <c r="C47" s="393" t="s">
        <v>1109</v>
      </c>
      <c r="D47" s="393" t="s">
        <v>1110</v>
      </c>
      <c r="E47" s="393" t="s">
        <v>1097</v>
      </c>
      <c r="F47" s="393" t="s">
        <v>1107</v>
      </c>
      <c r="G47" s="393" t="s">
        <v>1108</v>
      </c>
      <c r="H47" s="48"/>
    </row>
    <row r="48">
      <c r="A48" s="15"/>
      <c r="B48" s="393">
        <v>1.0</v>
      </c>
      <c r="C48" s="393" t="s">
        <v>1111</v>
      </c>
      <c r="D48" s="393" t="s">
        <v>1112</v>
      </c>
      <c r="E48" s="393" t="s">
        <v>1097</v>
      </c>
      <c r="F48" s="393" t="s">
        <v>1113</v>
      </c>
      <c r="G48" s="393" t="s">
        <v>1114</v>
      </c>
      <c r="H48" s="48"/>
    </row>
    <row r="49">
      <c r="A49" s="25"/>
      <c r="B49" s="410">
        <v>0.0</v>
      </c>
      <c r="C49" s="393" t="s">
        <v>1115</v>
      </c>
      <c r="D49" s="393" t="s">
        <v>1116</v>
      </c>
      <c r="E49" s="393" t="s">
        <v>1097</v>
      </c>
      <c r="F49" s="393" t="s">
        <v>1117</v>
      </c>
      <c r="G49" s="393" t="s">
        <v>1114</v>
      </c>
      <c r="H49" s="48"/>
    </row>
    <row r="50">
      <c r="A50" s="54"/>
      <c r="B50" s="388"/>
      <c r="C50" s="388"/>
      <c r="D50" s="388"/>
      <c r="E50" s="388"/>
      <c r="F50" s="388"/>
      <c r="G50" s="388"/>
    </row>
    <row r="51">
      <c r="B51" s="220"/>
      <c r="C51" s="220"/>
      <c r="D51" s="220"/>
      <c r="E51" s="220"/>
      <c r="F51" s="220"/>
      <c r="G51" s="220"/>
    </row>
    <row r="52">
      <c r="A52" s="411" t="s">
        <v>1039</v>
      </c>
      <c r="B52" s="412">
        <v>7.0</v>
      </c>
      <c r="C52" s="412" t="s">
        <v>1118</v>
      </c>
      <c r="D52" s="412" t="s">
        <v>1119</v>
      </c>
      <c r="E52" s="412" t="s">
        <v>1120</v>
      </c>
      <c r="F52" s="412" t="s">
        <v>1121</v>
      </c>
      <c r="G52" s="412" t="s">
        <v>1122</v>
      </c>
      <c r="H52" s="48"/>
    </row>
    <row r="53">
      <c r="A53" s="15"/>
      <c r="B53" s="393">
        <v>6.0</v>
      </c>
      <c r="C53" s="394" t="s">
        <v>1123</v>
      </c>
      <c r="D53" s="394" t="s">
        <v>1124</v>
      </c>
      <c r="E53" s="393" t="s">
        <v>1125</v>
      </c>
      <c r="F53" s="394" t="s">
        <v>1126</v>
      </c>
      <c r="G53" s="393" t="s">
        <v>1127</v>
      </c>
      <c r="H53" s="48"/>
    </row>
    <row r="54">
      <c r="A54" s="15"/>
      <c r="B54" s="393">
        <v>5.0</v>
      </c>
      <c r="C54" s="413" t="s">
        <v>414</v>
      </c>
      <c r="D54" s="393" t="s">
        <v>415</v>
      </c>
      <c r="E54" s="393" t="s">
        <v>532</v>
      </c>
      <c r="F54" s="393" t="s">
        <v>413</v>
      </c>
      <c r="G54" s="393" t="s">
        <v>1128</v>
      </c>
      <c r="H54" s="48"/>
    </row>
    <row r="55">
      <c r="A55" s="15"/>
      <c r="B55" s="393">
        <v>4.0</v>
      </c>
      <c r="C55" s="413" t="s">
        <v>408</v>
      </c>
      <c r="D55" s="393" t="s">
        <v>1129</v>
      </c>
      <c r="E55" s="393" t="s">
        <v>532</v>
      </c>
      <c r="F55" s="414" t="s">
        <v>406</v>
      </c>
      <c r="G55" s="393" t="s">
        <v>1128</v>
      </c>
      <c r="H55" s="48"/>
    </row>
    <row r="56">
      <c r="A56" s="15"/>
      <c r="B56" s="393">
        <v>3.0</v>
      </c>
      <c r="C56" s="413" t="s">
        <v>411</v>
      </c>
      <c r="D56" s="393" t="s">
        <v>1130</v>
      </c>
      <c r="E56" s="393" t="s">
        <v>532</v>
      </c>
      <c r="F56" s="414" t="s">
        <v>409</v>
      </c>
      <c r="G56" s="393" t="s">
        <v>1128</v>
      </c>
      <c r="H56" s="48"/>
    </row>
    <row r="57">
      <c r="A57" s="15"/>
      <c r="B57" s="393">
        <v>2.0</v>
      </c>
      <c r="C57" s="393" t="s">
        <v>1131</v>
      </c>
      <c r="D57" s="393"/>
      <c r="E57" s="393" t="s">
        <v>532</v>
      </c>
      <c r="F57" s="393" t="s">
        <v>1132</v>
      </c>
      <c r="G57" s="393" t="s">
        <v>1128</v>
      </c>
      <c r="H57" s="48"/>
    </row>
    <row r="58">
      <c r="A58" s="15"/>
      <c r="B58" s="393">
        <v>1.0</v>
      </c>
      <c r="C58" s="393" t="s">
        <v>1133</v>
      </c>
      <c r="D58" s="393" t="s">
        <v>1133</v>
      </c>
      <c r="E58" s="393" t="s">
        <v>532</v>
      </c>
      <c r="F58" s="393" t="s">
        <v>1134</v>
      </c>
      <c r="G58" s="393" t="s">
        <v>1128</v>
      </c>
      <c r="H58" s="48"/>
    </row>
    <row r="59">
      <c r="A59" s="25"/>
      <c r="B59" s="410">
        <v>0.0</v>
      </c>
      <c r="C59" s="393" t="s">
        <v>580</v>
      </c>
      <c r="D59" s="393" t="s">
        <v>1135</v>
      </c>
      <c r="E59" s="393" t="s">
        <v>532</v>
      </c>
      <c r="F59" s="393" t="s">
        <v>581</v>
      </c>
      <c r="G59" s="393" t="s">
        <v>1128</v>
      </c>
      <c r="H59" s="48"/>
    </row>
    <row r="60">
      <c r="A60" s="54"/>
      <c r="B60" s="388"/>
      <c r="C60" s="388"/>
      <c r="D60" s="388"/>
      <c r="E60" s="388"/>
      <c r="F60" s="388"/>
      <c r="G60" s="388"/>
    </row>
    <row r="61">
      <c r="B61" s="220"/>
      <c r="C61" s="220"/>
      <c r="D61" s="220"/>
      <c r="E61" s="220"/>
      <c r="F61" s="220"/>
      <c r="G61" s="220"/>
    </row>
    <row r="62">
      <c r="B62" s="109" t="s">
        <v>1136</v>
      </c>
      <c r="D62" s="220"/>
      <c r="E62" s="220"/>
      <c r="F62" s="220"/>
      <c r="G62" s="220"/>
    </row>
    <row r="63">
      <c r="B63" s="220"/>
      <c r="C63" s="220"/>
      <c r="D63" s="220"/>
      <c r="E63" s="220"/>
      <c r="F63" s="220"/>
      <c r="G63" s="220"/>
    </row>
    <row r="64">
      <c r="B64" s="220"/>
      <c r="C64" s="220"/>
      <c r="D64" s="220"/>
      <c r="E64" s="220"/>
      <c r="F64" s="220"/>
      <c r="G64" s="70" t="s">
        <v>1137</v>
      </c>
    </row>
    <row r="65">
      <c r="B65" s="415" t="s">
        <v>1138</v>
      </c>
      <c r="G65" s="220"/>
    </row>
    <row r="66">
      <c r="B66" s="389" t="s">
        <v>1139</v>
      </c>
      <c r="F66" s="416"/>
      <c r="G66" s="70" t="s">
        <v>1140</v>
      </c>
      <c r="H66" s="2" t="s">
        <v>1141</v>
      </c>
    </row>
    <row r="67">
      <c r="B67" s="389" t="s">
        <v>1142</v>
      </c>
      <c r="F67" s="416"/>
      <c r="G67" s="70" t="s">
        <v>1143</v>
      </c>
      <c r="H67" s="2" t="s">
        <v>1144</v>
      </c>
    </row>
    <row r="68">
      <c r="B68" s="389" t="s">
        <v>1145</v>
      </c>
      <c r="F68" s="416"/>
      <c r="G68" s="70" t="s">
        <v>1146</v>
      </c>
      <c r="H68" s="2" t="s">
        <v>1144</v>
      </c>
    </row>
    <row r="69">
      <c r="B69" s="389" t="s">
        <v>1147</v>
      </c>
      <c r="F69" s="416"/>
      <c r="G69" s="70" t="s">
        <v>1148</v>
      </c>
      <c r="H69" s="2" t="s">
        <v>1144</v>
      </c>
    </row>
    <row r="70">
      <c r="B70" s="389" t="s">
        <v>1149</v>
      </c>
      <c r="F70" s="416"/>
      <c r="G70" s="70" t="s">
        <v>1150</v>
      </c>
      <c r="H70" s="2" t="s">
        <v>1144</v>
      </c>
    </row>
    <row r="71">
      <c r="B71" s="389" t="s">
        <v>1151</v>
      </c>
      <c r="F71" s="416"/>
      <c r="G71" s="70" t="s">
        <v>1152</v>
      </c>
      <c r="H71" s="2" t="s">
        <v>1144</v>
      </c>
    </row>
    <row r="72">
      <c r="B72" s="389" t="s">
        <v>1153</v>
      </c>
      <c r="F72" s="416"/>
      <c r="G72" s="70" t="s">
        <v>1154</v>
      </c>
      <c r="H72" s="2" t="s">
        <v>1144</v>
      </c>
    </row>
    <row r="73">
      <c r="B73" s="389" t="s">
        <v>1155</v>
      </c>
      <c r="F73" s="416"/>
      <c r="G73" s="70" t="s">
        <v>1156</v>
      </c>
      <c r="H73" s="2" t="s">
        <v>1144</v>
      </c>
    </row>
    <row r="74">
      <c r="B74" s="389" t="s">
        <v>1157</v>
      </c>
      <c r="F74" s="416"/>
      <c r="G74" s="70" t="s">
        <v>656</v>
      </c>
      <c r="H74" s="2" t="s">
        <v>1144</v>
      </c>
    </row>
    <row r="75">
      <c r="B75" s="389" t="s">
        <v>1158</v>
      </c>
      <c r="F75" s="416"/>
      <c r="G75" s="220"/>
    </row>
    <row r="76">
      <c r="B76" s="389" t="s">
        <v>1159</v>
      </c>
      <c r="F76" s="416"/>
      <c r="G76" s="220"/>
    </row>
    <row r="77">
      <c r="B77" s="389" t="s">
        <v>1160</v>
      </c>
      <c r="F77" s="416"/>
      <c r="G77" s="220"/>
    </row>
    <row r="78">
      <c r="B78" s="389" t="s">
        <v>1161</v>
      </c>
      <c r="F78" s="416"/>
      <c r="G78" s="220"/>
    </row>
    <row r="79">
      <c r="B79" s="220"/>
      <c r="C79" s="220"/>
      <c r="D79" s="220"/>
      <c r="E79" s="220"/>
      <c r="F79" s="220"/>
      <c r="G79" s="220"/>
    </row>
    <row r="80">
      <c r="B80" s="220"/>
      <c r="C80" s="220"/>
      <c r="D80" s="220"/>
      <c r="E80" s="220"/>
      <c r="F80" s="220"/>
      <c r="G80" s="220"/>
    </row>
    <row r="81">
      <c r="A81" s="48"/>
      <c r="B81" s="220"/>
      <c r="C81" s="220"/>
      <c r="D81" s="220"/>
      <c r="E81" s="220"/>
      <c r="F81" s="220"/>
      <c r="G81" s="220"/>
    </row>
    <row r="82">
      <c r="A82" s="48"/>
      <c r="B82" s="220"/>
      <c r="C82" s="220"/>
      <c r="D82" s="220"/>
      <c r="E82" s="220"/>
      <c r="F82" s="220"/>
      <c r="G82" s="220"/>
    </row>
    <row r="83">
      <c r="A83" s="48"/>
      <c r="B83" s="417"/>
      <c r="G83" s="220"/>
    </row>
    <row r="84">
      <c r="A84" s="48"/>
      <c r="B84" s="417"/>
      <c r="G84" s="220"/>
    </row>
    <row r="85">
      <c r="A85" s="48"/>
      <c r="B85" s="220"/>
      <c r="C85" s="220"/>
      <c r="D85" s="220"/>
      <c r="E85" s="220"/>
      <c r="F85" s="220"/>
      <c r="G85" s="220"/>
    </row>
    <row r="86">
      <c r="A86" s="48"/>
      <c r="B86" s="220"/>
      <c r="C86" s="220"/>
      <c r="D86" s="220"/>
      <c r="E86" s="220"/>
      <c r="F86" s="220"/>
      <c r="G86" s="220"/>
    </row>
    <row r="87">
      <c r="B87" s="415" t="s">
        <v>1162</v>
      </c>
      <c r="D87" s="416"/>
      <c r="E87" s="416"/>
      <c r="F87" s="416"/>
      <c r="G87" s="416"/>
    </row>
    <row r="88">
      <c r="B88" s="389" t="s">
        <v>1163</v>
      </c>
    </row>
    <row r="89">
      <c r="B89" s="416"/>
      <c r="C89" s="416"/>
      <c r="D89" s="416"/>
      <c r="E89" s="416"/>
      <c r="F89" s="416"/>
      <c r="G89" s="416"/>
    </row>
    <row r="90">
      <c r="B90" s="416"/>
    </row>
    <row r="91">
      <c r="B91" s="389" t="s">
        <v>1164</v>
      </c>
      <c r="G91" s="416"/>
    </row>
    <row r="92">
      <c r="B92" s="389" t="s">
        <v>1165</v>
      </c>
      <c r="G92" s="416"/>
    </row>
    <row r="93">
      <c r="B93" s="389" t="s">
        <v>1166</v>
      </c>
    </row>
    <row r="94">
      <c r="B94" s="416"/>
      <c r="G94" s="416"/>
    </row>
    <row r="95">
      <c r="B95" s="416"/>
      <c r="C95" s="389" t="s">
        <v>1167</v>
      </c>
    </row>
    <row r="96">
      <c r="B96" s="416"/>
      <c r="C96" s="389" t="s">
        <v>1168</v>
      </c>
    </row>
    <row r="97">
      <c r="B97" s="416"/>
      <c r="C97" s="389" t="s">
        <v>1169</v>
      </c>
      <c r="G97" s="416"/>
    </row>
    <row r="98">
      <c r="B98" s="416"/>
      <c r="C98" s="416"/>
      <c r="D98" s="416"/>
      <c r="E98" s="416"/>
      <c r="F98" s="416"/>
      <c r="G98" s="416"/>
    </row>
    <row r="99">
      <c r="B99" s="416"/>
      <c r="C99" s="416"/>
      <c r="D99" s="389" t="s">
        <v>1170</v>
      </c>
    </row>
    <row r="100">
      <c r="B100" s="416"/>
      <c r="C100" s="416"/>
      <c r="D100" s="389" t="s">
        <v>1171</v>
      </c>
    </row>
    <row r="101">
      <c r="B101" s="416"/>
      <c r="C101" s="416"/>
      <c r="D101" s="389" t="s">
        <v>1172</v>
      </c>
    </row>
    <row r="102">
      <c r="B102" s="416"/>
      <c r="C102" s="416"/>
      <c r="D102" s="389" t="s">
        <v>1173</v>
      </c>
    </row>
    <row r="103">
      <c r="B103" s="416"/>
      <c r="C103" s="416"/>
      <c r="D103" s="389" t="s">
        <v>1174</v>
      </c>
    </row>
    <row r="104">
      <c r="B104" s="416"/>
      <c r="C104" s="416"/>
      <c r="D104" s="389" t="s">
        <v>1175</v>
      </c>
    </row>
    <row r="105">
      <c r="B105" s="416"/>
      <c r="C105" s="416"/>
      <c r="D105" s="416"/>
      <c r="E105" s="416"/>
      <c r="F105" s="416"/>
      <c r="G105" s="416"/>
    </row>
    <row r="106">
      <c r="B106" s="416"/>
      <c r="C106" s="389" t="s">
        <v>1176</v>
      </c>
    </row>
    <row r="107">
      <c r="B107" s="416"/>
      <c r="C107" s="389" t="s">
        <v>1177</v>
      </c>
    </row>
    <row r="108">
      <c r="B108" s="416"/>
      <c r="C108" s="389" t="s">
        <v>1178</v>
      </c>
    </row>
    <row r="109">
      <c r="B109" s="416"/>
      <c r="G109" s="416"/>
    </row>
    <row r="110">
      <c r="B110" s="416"/>
      <c r="C110" s="416"/>
      <c r="D110" s="389" t="s">
        <v>1179</v>
      </c>
    </row>
    <row r="111">
      <c r="B111" s="416"/>
    </row>
    <row r="112">
      <c r="B112" s="416"/>
      <c r="C112" s="416"/>
      <c r="D112" s="416"/>
      <c r="E112" s="389" t="s">
        <v>1180</v>
      </c>
    </row>
    <row r="113">
      <c r="B113" s="416"/>
      <c r="C113" s="416"/>
      <c r="D113" s="416"/>
      <c r="E113" s="389" t="s">
        <v>1181</v>
      </c>
    </row>
    <row r="114">
      <c r="B114" s="416"/>
      <c r="C114" s="416"/>
      <c r="D114" s="416"/>
      <c r="E114" s="389" t="s">
        <v>1182</v>
      </c>
    </row>
    <row r="115">
      <c r="B115" s="416"/>
      <c r="C115" s="416"/>
      <c r="D115" s="416"/>
      <c r="E115" s="389" t="s">
        <v>1183</v>
      </c>
    </row>
    <row r="116">
      <c r="B116" s="416"/>
      <c r="C116" s="416"/>
      <c r="D116" s="416"/>
      <c r="E116" s="389" t="s">
        <v>1184</v>
      </c>
    </row>
    <row r="117">
      <c r="B117" s="416"/>
      <c r="C117" s="416"/>
      <c r="D117" s="416"/>
      <c r="E117" s="416"/>
      <c r="F117" s="416"/>
      <c r="G117" s="416"/>
    </row>
    <row r="118">
      <c r="B118" s="416"/>
      <c r="C118" s="416"/>
      <c r="D118" s="416"/>
      <c r="E118" s="389" t="s">
        <v>1185</v>
      </c>
    </row>
    <row r="119">
      <c r="B119" s="416"/>
      <c r="C119" s="416"/>
      <c r="D119" s="416"/>
      <c r="E119" s="389" t="s">
        <v>1186</v>
      </c>
    </row>
    <row r="120">
      <c r="B120" s="416"/>
      <c r="C120" s="416"/>
      <c r="D120" s="416"/>
      <c r="E120" s="389" t="s">
        <v>1187</v>
      </c>
    </row>
    <row r="121">
      <c r="B121" s="416"/>
      <c r="C121" s="416"/>
      <c r="D121" s="416"/>
      <c r="E121" s="389" t="s">
        <v>1188</v>
      </c>
    </row>
    <row r="122">
      <c r="B122" s="416"/>
    </row>
    <row r="123">
      <c r="B123" s="416"/>
      <c r="C123" s="416"/>
      <c r="D123" s="389" t="s">
        <v>1189</v>
      </c>
      <c r="E123" s="416"/>
      <c r="F123" s="416"/>
      <c r="G123" s="416"/>
    </row>
    <row r="124">
      <c r="B124" s="416"/>
      <c r="C124" s="416"/>
      <c r="D124" s="416"/>
      <c r="E124" s="416"/>
      <c r="F124" s="416"/>
      <c r="G124" s="416"/>
    </row>
    <row r="125">
      <c r="B125" s="416"/>
      <c r="C125" s="389" t="s">
        <v>1190</v>
      </c>
    </row>
    <row r="126">
      <c r="B126" s="416"/>
      <c r="C126" s="389" t="s">
        <v>1191</v>
      </c>
    </row>
    <row r="127">
      <c r="B127" s="416"/>
      <c r="C127" s="389" t="s">
        <v>1192</v>
      </c>
      <c r="D127" s="416"/>
      <c r="E127" s="416"/>
      <c r="F127" s="416"/>
      <c r="G127" s="416"/>
    </row>
    <row r="128">
      <c r="B128" s="416"/>
      <c r="C128" s="416"/>
      <c r="D128" s="416"/>
      <c r="E128" s="416"/>
      <c r="F128" s="416"/>
      <c r="G128" s="416"/>
    </row>
    <row r="129">
      <c r="B129" s="416"/>
      <c r="C129" s="416"/>
      <c r="D129" s="389" t="s">
        <v>1193</v>
      </c>
    </row>
    <row r="130">
      <c r="B130" s="416"/>
      <c r="C130" s="416"/>
      <c r="D130" s="389" t="s">
        <v>1194</v>
      </c>
    </row>
    <row r="131">
      <c r="B131" s="416"/>
      <c r="C131" s="416"/>
      <c r="D131" s="389" t="s">
        <v>1195</v>
      </c>
    </row>
    <row r="132">
      <c r="B132" s="416"/>
      <c r="C132" s="416"/>
      <c r="D132" s="389" t="s">
        <v>1196</v>
      </c>
    </row>
    <row r="133">
      <c r="B133" s="416"/>
      <c r="C133" s="416"/>
      <c r="D133" s="389" t="s">
        <v>1197</v>
      </c>
    </row>
    <row r="134">
      <c r="B134" s="416"/>
      <c r="C134" s="416"/>
      <c r="D134" s="389" t="s">
        <v>1198</v>
      </c>
      <c r="E134" s="416"/>
      <c r="F134" s="416"/>
      <c r="G134" s="416"/>
    </row>
    <row r="135">
      <c r="B135" s="416"/>
      <c r="C135" s="416"/>
      <c r="D135" s="416"/>
      <c r="E135" s="416"/>
      <c r="F135" s="416"/>
      <c r="G135" s="416"/>
    </row>
    <row r="136">
      <c r="B136" s="416"/>
      <c r="C136" s="416"/>
      <c r="D136" s="416"/>
      <c r="E136" s="389" t="s">
        <v>1199</v>
      </c>
    </row>
    <row r="137">
      <c r="B137" s="220"/>
      <c r="C137" s="416"/>
      <c r="D137" s="416"/>
      <c r="E137" s="389" t="s">
        <v>1200</v>
      </c>
    </row>
    <row r="138">
      <c r="B138" s="220"/>
      <c r="C138" s="220"/>
      <c r="D138" s="220"/>
      <c r="E138" s="220"/>
      <c r="F138" s="220"/>
      <c r="G138" s="220"/>
    </row>
    <row r="139">
      <c r="B139" s="220"/>
      <c r="C139" s="220"/>
      <c r="D139" s="220"/>
      <c r="E139" s="220"/>
      <c r="F139" s="220"/>
      <c r="G139" s="220"/>
    </row>
    <row r="140">
      <c r="B140" s="220"/>
      <c r="C140" s="220"/>
      <c r="D140" s="220"/>
      <c r="E140" s="220"/>
      <c r="F140" s="220"/>
      <c r="G140" s="220"/>
    </row>
    <row r="141">
      <c r="B141" s="220"/>
      <c r="C141" s="220"/>
      <c r="D141" s="220"/>
      <c r="E141" s="220"/>
      <c r="F141" s="220"/>
      <c r="G141" s="220"/>
    </row>
    <row r="142">
      <c r="B142" s="220"/>
      <c r="C142" s="220"/>
      <c r="D142" s="220"/>
      <c r="E142" s="220"/>
      <c r="F142" s="220"/>
      <c r="G142" s="220"/>
    </row>
  </sheetData>
  <mergeCells count="72">
    <mergeCell ref="C107:G107"/>
    <mergeCell ref="C108:G108"/>
    <mergeCell ref="B109:F109"/>
    <mergeCell ref="D110:G110"/>
    <mergeCell ref="B111:G111"/>
    <mergeCell ref="E112:G112"/>
    <mergeCell ref="E113:G113"/>
    <mergeCell ref="E114:G114"/>
    <mergeCell ref="E115:G115"/>
    <mergeCell ref="E116:G116"/>
    <mergeCell ref="E118:G118"/>
    <mergeCell ref="E119:G119"/>
    <mergeCell ref="E120:G120"/>
    <mergeCell ref="E121:G121"/>
    <mergeCell ref="E136:G136"/>
    <mergeCell ref="E137:G137"/>
    <mergeCell ref="C125:G125"/>
    <mergeCell ref="C126:G126"/>
    <mergeCell ref="D129:G129"/>
    <mergeCell ref="D130:G130"/>
    <mergeCell ref="D131:G131"/>
    <mergeCell ref="D132:G132"/>
    <mergeCell ref="D133:G133"/>
    <mergeCell ref="B2:F2"/>
    <mergeCell ref="D3:E3"/>
    <mergeCell ref="B5:E5"/>
    <mergeCell ref="D6:E6"/>
    <mergeCell ref="B8:E8"/>
    <mergeCell ref="B15:H15"/>
    <mergeCell ref="B16:H16"/>
    <mergeCell ref="B10:E10"/>
    <mergeCell ref="A24:A39"/>
    <mergeCell ref="B28:B35"/>
    <mergeCell ref="C28:C35"/>
    <mergeCell ref="B36:B37"/>
    <mergeCell ref="C36:C37"/>
    <mergeCell ref="A42:A49"/>
    <mergeCell ref="A52:A59"/>
    <mergeCell ref="B62:C62"/>
    <mergeCell ref="B65:F65"/>
    <mergeCell ref="B66:E66"/>
    <mergeCell ref="B67:E67"/>
    <mergeCell ref="B68:E68"/>
    <mergeCell ref="B69:E69"/>
    <mergeCell ref="B70:E70"/>
    <mergeCell ref="B71:E71"/>
    <mergeCell ref="B72:E72"/>
    <mergeCell ref="B73:E73"/>
    <mergeCell ref="B74:E74"/>
    <mergeCell ref="B75:E75"/>
    <mergeCell ref="B76:E76"/>
    <mergeCell ref="B77:E77"/>
    <mergeCell ref="B78:E78"/>
    <mergeCell ref="B83:F83"/>
    <mergeCell ref="B84:F84"/>
    <mergeCell ref="B87:C87"/>
    <mergeCell ref="B88:G88"/>
    <mergeCell ref="B90:G90"/>
    <mergeCell ref="B91:F91"/>
    <mergeCell ref="B92:F92"/>
    <mergeCell ref="B93:G93"/>
    <mergeCell ref="B94:F94"/>
    <mergeCell ref="C95:G95"/>
    <mergeCell ref="C96:G96"/>
    <mergeCell ref="C97:F97"/>
    <mergeCell ref="D99:G99"/>
    <mergeCell ref="D100:G100"/>
    <mergeCell ref="D101:G101"/>
    <mergeCell ref="D102:G102"/>
    <mergeCell ref="D103:G103"/>
    <mergeCell ref="D104:G104"/>
    <mergeCell ref="C106:G10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25"/>
    <col customWidth="1" min="2" max="2" width="50.63"/>
    <col customWidth="1" min="3" max="3" width="43.38"/>
    <col customWidth="1" min="4" max="4" width="50.13"/>
    <col customWidth="1" min="5" max="5" width="9.5"/>
  </cols>
  <sheetData>
    <row r="1">
      <c r="A1" s="371" t="s">
        <v>920</v>
      </c>
      <c r="B1" s="371" t="s">
        <v>921</v>
      </c>
      <c r="C1" s="371" t="s">
        <v>922</v>
      </c>
      <c r="D1" s="371" t="s">
        <v>923</v>
      </c>
      <c r="E1" s="371" t="s">
        <v>1201</v>
      </c>
    </row>
    <row r="2">
      <c r="A2" s="418" t="s">
        <v>1202</v>
      </c>
      <c r="B2" s="419" t="s">
        <v>1203</v>
      </c>
      <c r="C2" s="419" t="s">
        <v>1204</v>
      </c>
      <c r="D2" s="419" t="s">
        <v>1205</v>
      </c>
      <c r="E2" s="418" t="s">
        <v>962</v>
      </c>
    </row>
    <row r="3">
      <c r="A3" s="420" t="s">
        <v>1206</v>
      </c>
      <c r="B3" s="421" t="s">
        <v>1207</v>
      </c>
      <c r="C3" s="421" t="s">
        <v>1208</v>
      </c>
      <c r="D3" s="422"/>
      <c r="E3" s="420" t="s">
        <v>1209</v>
      </c>
    </row>
    <row r="4">
      <c r="A4" s="420" t="s">
        <v>1210</v>
      </c>
      <c r="B4" s="421" t="s">
        <v>1211</v>
      </c>
      <c r="C4" s="421" t="s">
        <v>1212</v>
      </c>
      <c r="D4" s="421" t="s">
        <v>1213</v>
      </c>
      <c r="E4" s="420" t="s">
        <v>1214</v>
      </c>
    </row>
    <row r="5">
      <c r="A5" s="420" t="s">
        <v>1215</v>
      </c>
      <c r="B5" s="422"/>
      <c r="C5" s="421" t="s">
        <v>1216</v>
      </c>
      <c r="D5" s="422"/>
      <c r="E5" s="420" t="s">
        <v>1217</v>
      </c>
    </row>
    <row r="6">
      <c r="A6" s="420" t="s">
        <v>1218</v>
      </c>
      <c r="B6" s="423" t="s">
        <v>1219</v>
      </c>
      <c r="C6" s="423" t="s">
        <v>1220</v>
      </c>
      <c r="D6" s="423" t="s">
        <v>1221</v>
      </c>
      <c r="E6" s="424" t="s">
        <v>1222</v>
      </c>
    </row>
    <row r="7" hidden="1">
      <c r="A7" s="425" t="s">
        <v>1223</v>
      </c>
      <c r="B7" s="426" t="s">
        <v>1224</v>
      </c>
      <c r="C7" s="426" t="s">
        <v>1225</v>
      </c>
      <c r="D7" s="426" t="s">
        <v>1226</v>
      </c>
      <c r="E7" s="425" t="s">
        <v>1227</v>
      </c>
    </row>
    <row r="8" hidden="1">
      <c r="A8" s="425" t="s">
        <v>1228</v>
      </c>
      <c r="B8" s="426" t="s">
        <v>1229</v>
      </c>
      <c r="C8" s="427"/>
      <c r="D8" s="426" t="s">
        <v>1230</v>
      </c>
      <c r="E8" s="425" t="s">
        <v>1231</v>
      </c>
    </row>
    <row r="9" hidden="1">
      <c r="A9" s="425" t="s">
        <v>1232</v>
      </c>
      <c r="B9" s="426" t="s">
        <v>1233</v>
      </c>
      <c r="C9" s="426" t="s">
        <v>1234</v>
      </c>
      <c r="D9" s="426" t="s">
        <v>1235</v>
      </c>
      <c r="E9" s="425" t="s">
        <v>1236</v>
      </c>
    </row>
    <row r="10" hidden="1">
      <c r="A10" s="425" t="s">
        <v>1237</v>
      </c>
      <c r="B10" s="426" t="s">
        <v>1238</v>
      </c>
      <c r="C10" s="426" t="s">
        <v>1239</v>
      </c>
      <c r="D10" s="426" t="s">
        <v>1240</v>
      </c>
      <c r="E10" s="425" t="s">
        <v>1241</v>
      </c>
    </row>
    <row r="11" hidden="1">
      <c r="A11" s="425" t="s">
        <v>1242</v>
      </c>
      <c r="B11" s="426" t="s">
        <v>1243</v>
      </c>
      <c r="C11" s="426" t="s">
        <v>1244</v>
      </c>
      <c r="D11" s="426" t="s">
        <v>1245</v>
      </c>
      <c r="E11" s="425" t="s">
        <v>1246</v>
      </c>
    </row>
    <row r="12" hidden="1">
      <c r="A12" s="425" t="s">
        <v>1247</v>
      </c>
      <c r="B12" s="426" t="s">
        <v>1248</v>
      </c>
      <c r="C12" s="426" t="s">
        <v>1249</v>
      </c>
      <c r="D12" s="426" t="s">
        <v>1250</v>
      </c>
      <c r="E12" s="425" t="s">
        <v>1251</v>
      </c>
    </row>
    <row r="13" hidden="1">
      <c r="A13" s="425" t="s">
        <v>1252</v>
      </c>
      <c r="B13" s="426" t="s">
        <v>1253</v>
      </c>
      <c r="C13" s="426" t="s">
        <v>1254</v>
      </c>
      <c r="D13" s="426" t="s">
        <v>1255</v>
      </c>
      <c r="E13" s="425" t="s">
        <v>1256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2.75"/>
  <cols>
    <col customWidth="1" min="1" max="1" width="8.25"/>
    <col customWidth="1" min="2" max="2" width="73.13"/>
    <col customWidth="1" min="3" max="3" width="63.13"/>
    <col customWidth="1" min="4" max="4" width="56.38"/>
    <col customWidth="1" min="5" max="5" width="12.0"/>
  </cols>
  <sheetData>
    <row r="1">
      <c r="A1" s="371" t="s">
        <v>920</v>
      </c>
      <c r="B1" s="372" t="s">
        <v>921</v>
      </c>
      <c r="C1" s="372" t="s">
        <v>922</v>
      </c>
      <c r="D1" s="372" t="s">
        <v>923</v>
      </c>
      <c r="E1" s="373" t="s">
        <v>924</v>
      </c>
    </row>
    <row r="2" ht="51.0" customHeight="1">
      <c r="A2" s="374" t="s">
        <v>1257</v>
      </c>
      <c r="B2" s="414" t="s">
        <v>1258</v>
      </c>
      <c r="C2" s="428" t="s">
        <v>1259</v>
      </c>
      <c r="D2" s="429" t="s">
        <v>1260</v>
      </c>
      <c r="E2" s="430">
        <v>43536.0</v>
      </c>
    </row>
    <row r="3">
      <c r="A3" s="374" t="s">
        <v>1261</v>
      </c>
      <c r="B3" s="431" t="s">
        <v>1262</v>
      </c>
      <c r="C3" s="429" t="s">
        <v>1263</v>
      </c>
      <c r="D3" s="429" t="s">
        <v>1264</v>
      </c>
      <c r="E3" s="430">
        <v>43550.0</v>
      </c>
    </row>
    <row r="4">
      <c r="A4" s="374" t="s">
        <v>1265</v>
      </c>
      <c r="B4" s="432" t="s">
        <v>1266</v>
      </c>
      <c r="C4" s="212" t="s">
        <v>1267</v>
      </c>
      <c r="D4" s="429"/>
      <c r="E4" s="433"/>
    </row>
    <row r="5">
      <c r="A5" s="374" t="s">
        <v>1268</v>
      </c>
      <c r="B5" s="429"/>
      <c r="C5" s="212" t="s">
        <v>1269</v>
      </c>
      <c r="D5" s="429"/>
      <c r="E5" s="433"/>
    </row>
    <row r="6">
      <c r="A6" s="374" t="s">
        <v>1270</v>
      </c>
      <c r="B6" s="429"/>
      <c r="C6" s="212" t="s">
        <v>1271</v>
      </c>
      <c r="D6" s="429"/>
      <c r="E6" s="433"/>
    </row>
    <row r="7">
      <c r="A7" s="374" t="s">
        <v>1272</v>
      </c>
      <c r="B7" s="429"/>
      <c r="C7" s="212" t="s">
        <v>1273</v>
      </c>
      <c r="D7" s="429"/>
      <c r="E7" s="433"/>
    </row>
    <row r="8">
      <c r="A8" s="374" t="s">
        <v>1274</v>
      </c>
      <c r="B8" s="432" t="s">
        <v>1275</v>
      </c>
      <c r="C8" s="429"/>
      <c r="D8" s="429"/>
      <c r="E8" s="433"/>
    </row>
    <row r="9">
      <c r="A9" s="374" t="s">
        <v>1276</v>
      </c>
      <c r="B9" s="432" t="s">
        <v>1277</v>
      </c>
      <c r="C9" s="429"/>
      <c r="D9" s="429"/>
      <c r="E9" s="433"/>
    </row>
    <row r="10">
      <c r="A10" s="374" t="s">
        <v>1278</v>
      </c>
      <c r="B10" s="432" t="s">
        <v>1279</v>
      </c>
      <c r="C10" s="212" t="s">
        <v>1280</v>
      </c>
      <c r="D10" s="429"/>
      <c r="E10" s="433"/>
    </row>
    <row r="11">
      <c r="A11" s="374" t="s">
        <v>1281</v>
      </c>
      <c r="B11" s="432" t="s">
        <v>1282</v>
      </c>
      <c r="C11" s="429"/>
      <c r="D11" s="429"/>
      <c r="E11" s="433"/>
    </row>
    <row r="12">
      <c r="A12" s="374" t="s">
        <v>1283</v>
      </c>
      <c r="B12" s="432" t="s">
        <v>1284</v>
      </c>
      <c r="C12" s="212" t="s">
        <v>1285</v>
      </c>
      <c r="D12" s="429"/>
      <c r="E12" s="433"/>
    </row>
    <row r="13">
      <c r="A13" s="374" t="s">
        <v>1286</v>
      </c>
      <c r="B13" s="212" t="s">
        <v>1287</v>
      </c>
      <c r="C13" s="429"/>
      <c r="D13" s="429"/>
      <c r="E13" s="433"/>
    </row>
    <row r="14">
      <c r="A14" s="374" t="s">
        <v>1288</v>
      </c>
      <c r="B14" s="212" t="s">
        <v>1289</v>
      </c>
      <c r="C14" s="212" t="s">
        <v>1290</v>
      </c>
      <c r="D14" s="429"/>
      <c r="E14" s="433"/>
    </row>
    <row r="15">
      <c r="A15" s="374" t="s">
        <v>1291</v>
      </c>
      <c r="B15" s="429" t="s">
        <v>1292</v>
      </c>
      <c r="C15" s="429"/>
      <c r="D15" s="429"/>
      <c r="E15" s="433"/>
    </row>
    <row r="16">
      <c r="A16" s="374"/>
      <c r="B16" s="429"/>
      <c r="C16" s="429"/>
      <c r="D16" s="429"/>
      <c r="E16" s="433"/>
    </row>
    <row r="17">
      <c r="A17" s="374"/>
      <c r="B17" s="429"/>
      <c r="C17" s="429"/>
      <c r="D17" s="429"/>
      <c r="E17" s="433"/>
    </row>
    <row r="18">
      <c r="A18" s="374"/>
      <c r="B18" s="429"/>
      <c r="C18" s="429"/>
      <c r="D18" s="429"/>
      <c r="E18" s="433"/>
    </row>
    <row r="19">
      <c r="A19" s="374"/>
      <c r="B19" s="429"/>
      <c r="C19" s="429"/>
      <c r="D19" s="429"/>
      <c r="E19" s="433"/>
    </row>
    <row r="20">
      <c r="A20" s="374"/>
      <c r="B20" s="429"/>
      <c r="C20" s="429"/>
      <c r="D20" s="429"/>
      <c r="E20" s="433"/>
    </row>
    <row r="21">
      <c r="A21" s="374"/>
      <c r="B21" s="429"/>
      <c r="C21" s="429"/>
      <c r="D21" s="429"/>
      <c r="E21" s="433"/>
    </row>
    <row r="22">
      <c r="A22" s="374"/>
      <c r="B22" s="429"/>
      <c r="C22" s="434"/>
      <c r="D22" s="429"/>
      <c r="E22" s="435"/>
    </row>
    <row r="23">
      <c r="A23" s="374"/>
      <c r="B23" s="429"/>
      <c r="C23" s="436"/>
      <c r="D23" s="429"/>
      <c r="E23" s="435"/>
    </row>
    <row r="24">
      <c r="A24" s="374"/>
      <c r="B24" s="429"/>
      <c r="C24" s="436"/>
      <c r="D24" s="429"/>
      <c r="E24" s="435"/>
    </row>
    <row r="25">
      <c r="A25" s="374"/>
      <c r="B25" s="429"/>
      <c r="C25" s="436"/>
      <c r="D25" s="429"/>
      <c r="E25" s="435"/>
    </row>
    <row r="26">
      <c r="A26" s="374"/>
      <c r="B26" s="429"/>
      <c r="C26" s="436"/>
      <c r="D26" s="429"/>
      <c r="E26" s="435"/>
    </row>
    <row r="27">
      <c r="A27" s="374"/>
      <c r="B27" s="429"/>
      <c r="C27" s="436"/>
      <c r="D27" s="429"/>
      <c r="E27" s="435"/>
    </row>
    <row r="28">
      <c r="A28" s="374"/>
      <c r="B28" s="429"/>
      <c r="C28" s="436"/>
      <c r="D28" s="429"/>
      <c r="E28" s="435"/>
    </row>
    <row r="29">
      <c r="A29" s="374"/>
      <c r="B29" s="429"/>
      <c r="C29" s="436"/>
      <c r="D29" s="429"/>
      <c r="E29" s="435"/>
    </row>
    <row r="30">
      <c r="A30" s="374"/>
      <c r="B30" s="429"/>
      <c r="C30" s="436"/>
      <c r="D30" s="429"/>
      <c r="E30" s="435"/>
    </row>
    <row r="31">
      <c r="A31" s="374"/>
      <c r="B31" s="429"/>
      <c r="C31" s="429"/>
      <c r="D31" s="429"/>
      <c r="E31" s="435"/>
    </row>
    <row r="32">
      <c r="A32" s="374"/>
      <c r="B32" s="429"/>
      <c r="C32" s="429"/>
      <c r="D32" s="429"/>
      <c r="E32" s="435"/>
    </row>
    <row r="33">
      <c r="A33" s="374"/>
      <c r="B33" s="429"/>
      <c r="C33" s="429"/>
      <c r="D33" s="429"/>
      <c r="E33" s="435"/>
    </row>
    <row r="34">
      <c r="A34" s="374"/>
      <c r="B34" s="429"/>
      <c r="C34" s="429"/>
      <c r="D34" s="429"/>
      <c r="E34" s="435"/>
    </row>
    <row r="35">
      <c r="A35" s="374"/>
      <c r="B35" s="429"/>
      <c r="C35" s="429"/>
      <c r="D35" s="429"/>
      <c r="E35" s="435"/>
    </row>
    <row r="36">
      <c r="A36" s="374"/>
      <c r="B36" s="429"/>
      <c r="C36" s="429"/>
      <c r="D36" s="429"/>
      <c r="E36" s="435"/>
    </row>
    <row r="37">
      <c r="A37" s="374"/>
      <c r="B37" s="429"/>
      <c r="C37" s="429"/>
      <c r="D37" s="429"/>
      <c r="E37" s="435"/>
    </row>
    <row r="38">
      <c r="A38" s="374"/>
      <c r="B38" s="429"/>
      <c r="C38" s="429"/>
      <c r="D38" s="429"/>
      <c r="E38" s="435"/>
    </row>
    <row r="39">
      <c r="A39" s="379"/>
      <c r="B39" s="429"/>
      <c r="C39" s="436"/>
      <c r="D39" s="429"/>
      <c r="E39" s="435"/>
    </row>
    <row r="40">
      <c r="A40" s="379"/>
      <c r="B40" s="429"/>
      <c r="C40" s="436"/>
      <c r="D40" s="429"/>
      <c r="E40" s="435"/>
    </row>
    <row r="41">
      <c r="A41" s="379"/>
      <c r="B41" s="429"/>
      <c r="C41" s="436"/>
      <c r="D41" s="429"/>
      <c r="E41" s="435"/>
    </row>
    <row r="42">
      <c r="A42" s="379"/>
      <c r="B42" s="429"/>
      <c r="C42" s="429"/>
      <c r="D42" s="429"/>
      <c r="E42" s="43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4.38"/>
    <col customWidth="1" min="2" max="2" width="22.5"/>
    <col customWidth="1" min="3" max="3" width="116.25"/>
    <col customWidth="1" min="4" max="20" width="15.13"/>
  </cols>
  <sheetData>
    <row r="1" ht="26.25" customHeight="1">
      <c r="A1" s="20"/>
      <c r="B1" s="437" t="s">
        <v>1293</v>
      </c>
      <c r="C1" s="437" t="s">
        <v>1294</v>
      </c>
      <c r="D1" s="48"/>
    </row>
    <row r="2" ht="26.25" customHeight="1">
      <c r="A2" s="20"/>
      <c r="B2" s="438"/>
      <c r="C2" s="403"/>
      <c r="D2" s="48"/>
    </row>
    <row r="3" ht="26.25" customHeight="1">
      <c r="A3" s="20"/>
      <c r="B3" s="438" t="s">
        <v>1295</v>
      </c>
      <c r="C3" s="439" t="s">
        <v>1296</v>
      </c>
      <c r="D3" s="48"/>
    </row>
    <row r="4" ht="26.25" customHeight="1">
      <c r="A4" s="20"/>
      <c r="B4" s="438" t="s">
        <v>1297</v>
      </c>
      <c r="C4" s="439" t="s">
        <v>1298</v>
      </c>
      <c r="D4" s="48"/>
    </row>
    <row r="5" ht="26.25" customHeight="1">
      <c r="A5" s="20"/>
      <c r="B5" s="438" t="s">
        <v>1299</v>
      </c>
      <c r="C5" s="439" t="s">
        <v>1300</v>
      </c>
      <c r="D5" s="48"/>
    </row>
    <row r="6" ht="26.25" customHeight="1">
      <c r="A6" s="20"/>
      <c r="B6" s="438" t="s">
        <v>1301</v>
      </c>
      <c r="C6" s="439" t="s">
        <v>1302</v>
      </c>
      <c r="D6" s="48"/>
    </row>
    <row r="7" ht="26.25" customHeight="1">
      <c r="A7" s="20"/>
      <c r="B7" s="438" t="s">
        <v>1303</v>
      </c>
      <c r="C7" s="439" t="s">
        <v>1304</v>
      </c>
      <c r="D7" s="48"/>
    </row>
    <row r="8" ht="26.25" customHeight="1">
      <c r="A8" s="20"/>
      <c r="B8" s="438" t="s">
        <v>1305</v>
      </c>
      <c r="C8" s="439" t="s">
        <v>1306</v>
      </c>
      <c r="D8" s="48"/>
    </row>
    <row r="9" ht="26.25" customHeight="1">
      <c r="A9" s="20"/>
      <c r="B9" s="438" t="s">
        <v>1307</v>
      </c>
      <c r="C9" s="439" t="s">
        <v>1308</v>
      </c>
      <c r="D9" s="48"/>
    </row>
    <row r="10" ht="26.25" customHeight="1">
      <c r="A10" s="20"/>
      <c r="B10" s="438" t="s">
        <v>1309</v>
      </c>
      <c r="C10" s="439" t="s">
        <v>1310</v>
      </c>
      <c r="D10" s="48"/>
    </row>
    <row r="11" ht="26.25" customHeight="1">
      <c r="A11" s="20"/>
      <c r="B11" s="438" t="s">
        <v>1311</v>
      </c>
      <c r="C11" s="440" t="s">
        <v>1312</v>
      </c>
      <c r="D11" s="48"/>
    </row>
    <row r="12" ht="26.25" customHeight="1">
      <c r="A12" s="20"/>
      <c r="B12" s="438" t="s">
        <v>1313</v>
      </c>
      <c r="C12" s="441"/>
      <c r="D12" s="48"/>
    </row>
    <row r="13" ht="26.25" customHeight="1">
      <c r="A13" s="20"/>
      <c r="B13" s="438" t="s">
        <v>1314</v>
      </c>
      <c r="C13" s="441"/>
      <c r="D13" s="48"/>
    </row>
    <row r="14" ht="26.25" customHeight="1">
      <c r="A14" s="20"/>
      <c r="B14" s="438" t="s">
        <v>1315</v>
      </c>
      <c r="C14" s="439" t="s">
        <v>1316</v>
      </c>
      <c r="D14" s="48"/>
    </row>
    <row r="15" ht="26.25" customHeight="1">
      <c r="A15" s="20"/>
      <c r="B15" s="438" t="s">
        <v>1317</v>
      </c>
      <c r="C15" s="439" t="s">
        <v>1318</v>
      </c>
      <c r="D15" s="48"/>
    </row>
    <row r="16">
      <c r="B16" s="54"/>
      <c r="C16" s="54"/>
    </row>
  </sheetData>
  <hyperlinks>
    <hyperlink r:id="rId1" ref="C3"/>
    <hyperlink r:id="rId2" ref="C4"/>
    <hyperlink r:id="rId3" ref="C5"/>
    <hyperlink r:id="rId4" ref="C6"/>
    <hyperlink r:id="rId5" ref="C7"/>
    <hyperlink r:id="rId6" ref="C8"/>
    <hyperlink r:id="rId7" ref="C9"/>
    <hyperlink r:id="rId8" ref="C10"/>
    <hyperlink r:id="rId9" ref="C11"/>
    <hyperlink r:id="rId10" ref="C14"/>
    <hyperlink r:id="rId11" ref="C15"/>
  </hyperlinks>
  <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63"/>
    <col customWidth="1" min="2" max="2" width="57.75"/>
    <col customWidth="1" min="3" max="3" width="12.5"/>
    <col customWidth="1" min="4" max="4" width="6.13"/>
  </cols>
  <sheetData>
    <row r="1">
      <c r="A1" s="442" t="s">
        <v>1319</v>
      </c>
      <c r="B1" s="418" t="s">
        <v>1320</v>
      </c>
      <c r="C1" s="443" t="s">
        <v>1321</v>
      </c>
      <c r="D1" s="269"/>
    </row>
    <row r="2">
      <c r="A2" s="444" t="s">
        <v>1322</v>
      </c>
      <c r="B2" s="7"/>
      <c r="C2" s="445">
        <f>D2+8</f>
        <v>28</v>
      </c>
      <c r="D2" s="446">
        <f>SUM(D5:D72)</f>
        <v>20</v>
      </c>
    </row>
    <row r="3">
      <c r="A3" s="447"/>
      <c r="B3" s="54"/>
      <c r="C3" s="54"/>
      <c r="D3" s="54"/>
    </row>
    <row r="4">
      <c r="A4" s="30"/>
      <c r="B4" s="4"/>
      <c r="C4" s="4"/>
      <c r="D4" s="4"/>
    </row>
    <row r="5">
      <c r="A5" s="442" t="s">
        <v>1323</v>
      </c>
      <c r="B5" s="448" t="s">
        <v>1324</v>
      </c>
      <c r="C5" s="443" t="s">
        <v>1325</v>
      </c>
      <c r="D5" s="449">
        <f>IF(C5="",0,10)</f>
        <v>10</v>
      </c>
    </row>
    <row r="6">
      <c r="A6" s="442" t="s">
        <v>1326</v>
      </c>
      <c r="B6" s="448" t="s">
        <v>1327</v>
      </c>
      <c r="C6" s="443" t="s">
        <v>1325</v>
      </c>
      <c r="D6" s="450">
        <f t="shared" ref="D6:D14" si="1">IF(C6="",0,5)</f>
        <v>5</v>
      </c>
    </row>
    <row r="7">
      <c r="A7" s="442" t="s">
        <v>1328</v>
      </c>
      <c r="B7" s="448" t="s">
        <v>1329</v>
      </c>
      <c r="C7" s="451"/>
      <c r="D7" s="450">
        <f t="shared" si="1"/>
        <v>0</v>
      </c>
    </row>
    <row r="8">
      <c r="A8" s="442" t="s">
        <v>1330</v>
      </c>
      <c r="B8" s="448" t="s">
        <v>1331</v>
      </c>
      <c r="C8" s="451"/>
      <c r="D8" s="450">
        <f t="shared" si="1"/>
        <v>0</v>
      </c>
    </row>
    <row r="9">
      <c r="A9" s="442" t="s">
        <v>1332</v>
      </c>
      <c r="B9" s="448" t="s">
        <v>1333</v>
      </c>
      <c r="C9" s="451"/>
      <c r="D9" s="450">
        <f t="shared" si="1"/>
        <v>0</v>
      </c>
    </row>
    <row r="10">
      <c r="A10" s="442" t="s">
        <v>1334</v>
      </c>
      <c r="B10" s="448" t="s">
        <v>1335</v>
      </c>
      <c r="C10" s="451"/>
      <c r="D10" s="450">
        <f t="shared" si="1"/>
        <v>0</v>
      </c>
    </row>
    <row r="11">
      <c r="A11" s="442" t="s">
        <v>1336</v>
      </c>
      <c r="B11" s="448" t="s">
        <v>1337</v>
      </c>
      <c r="C11" s="451"/>
      <c r="D11" s="450">
        <f t="shared" si="1"/>
        <v>0</v>
      </c>
    </row>
    <row r="12">
      <c r="A12" s="442" t="s">
        <v>1338</v>
      </c>
      <c r="B12" s="448" t="s">
        <v>1339</v>
      </c>
      <c r="C12" s="451"/>
      <c r="D12" s="450">
        <f t="shared" si="1"/>
        <v>0</v>
      </c>
    </row>
    <row r="13">
      <c r="A13" s="442" t="s">
        <v>1340</v>
      </c>
      <c r="B13" s="170"/>
      <c r="C13" s="451"/>
      <c r="D13" s="450">
        <f t="shared" si="1"/>
        <v>0</v>
      </c>
    </row>
    <row r="14">
      <c r="A14" s="442" t="s">
        <v>1341</v>
      </c>
      <c r="B14" s="213"/>
      <c r="C14" s="451"/>
      <c r="D14" s="450">
        <f t="shared" si="1"/>
        <v>0</v>
      </c>
    </row>
    <row r="15">
      <c r="A15" s="452" t="s">
        <v>1342</v>
      </c>
      <c r="B15" s="6"/>
      <c r="C15" s="7"/>
      <c r="D15" s="453"/>
    </row>
    <row r="16">
      <c r="A16" s="442" t="s">
        <v>1343</v>
      </c>
      <c r="B16" s="448" t="s">
        <v>1344</v>
      </c>
      <c r="C16" s="451"/>
      <c r="D16" s="450">
        <f t="shared" ref="D16:D25" si="2">IF(C16="",0,5)</f>
        <v>0</v>
      </c>
    </row>
    <row r="17">
      <c r="A17" s="442" t="s">
        <v>1345</v>
      </c>
      <c r="B17" s="448" t="s">
        <v>1346</v>
      </c>
      <c r="C17" s="451"/>
      <c r="D17" s="450">
        <f t="shared" si="2"/>
        <v>0</v>
      </c>
    </row>
    <row r="18">
      <c r="A18" s="442" t="s">
        <v>1347</v>
      </c>
      <c r="B18" s="448" t="s">
        <v>1348</v>
      </c>
      <c r="C18" s="451"/>
      <c r="D18" s="450">
        <f t="shared" si="2"/>
        <v>0</v>
      </c>
    </row>
    <row r="19">
      <c r="A19" s="442" t="s">
        <v>1349</v>
      </c>
      <c r="B19" s="448" t="s">
        <v>1350</v>
      </c>
      <c r="C19" s="451"/>
      <c r="D19" s="450">
        <f t="shared" si="2"/>
        <v>0</v>
      </c>
    </row>
    <row r="20">
      <c r="A20" s="442" t="s">
        <v>1351</v>
      </c>
      <c r="B20" s="448" t="s">
        <v>1352</v>
      </c>
      <c r="C20" s="451"/>
      <c r="D20" s="450">
        <f t="shared" si="2"/>
        <v>0</v>
      </c>
    </row>
    <row r="21">
      <c r="A21" s="442" t="s">
        <v>1353</v>
      </c>
      <c r="B21" s="448" t="s">
        <v>1354</v>
      </c>
      <c r="C21" s="451"/>
      <c r="D21" s="450">
        <f t="shared" si="2"/>
        <v>0</v>
      </c>
    </row>
    <row r="22">
      <c r="A22" s="442" t="s">
        <v>1355</v>
      </c>
      <c r="B22" s="448" t="s">
        <v>1356</v>
      </c>
      <c r="C22" s="451"/>
      <c r="D22" s="450">
        <f t="shared" si="2"/>
        <v>0</v>
      </c>
    </row>
    <row r="23">
      <c r="A23" s="442" t="s">
        <v>1357</v>
      </c>
      <c r="B23" s="448" t="s">
        <v>1358</v>
      </c>
      <c r="C23" s="451"/>
      <c r="D23" s="450">
        <f t="shared" si="2"/>
        <v>0</v>
      </c>
    </row>
    <row r="24">
      <c r="A24" s="442" t="s">
        <v>1359</v>
      </c>
      <c r="B24" s="170"/>
      <c r="C24" s="451"/>
      <c r="D24" s="450">
        <f t="shared" si="2"/>
        <v>0</v>
      </c>
    </row>
    <row r="25">
      <c r="A25" s="442" t="s">
        <v>1360</v>
      </c>
      <c r="B25" s="170"/>
      <c r="C25" s="451"/>
      <c r="D25" s="450">
        <f t="shared" si="2"/>
        <v>0</v>
      </c>
    </row>
    <row r="26">
      <c r="A26" s="452" t="s">
        <v>1361</v>
      </c>
      <c r="B26" s="6"/>
      <c r="C26" s="7"/>
      <c r="D26" s="453"/>
    </row>
    <row r="27">
      <c r="A27" s="442" t="s">
        <v>1362</v>
      </c>
      <c r="B27" s="448" t="s">
        <v>1363</v>
      </c>
      <c r="C27" s="451"/>
      <c r="D27" s="450">
        <f t="shared" ref="D27:D38" si="3">IF(C27="",0,5)</f>
        <v>0</v>
      </c>
    </row>
    <row r="28">
      <c r="A28" s="442" t="s">
        <v>1364</v>
      </c>
      <c r="B28" s="448" t="s">
        <v>1365</v>
      </c>
      <c r="C28" s="451"/>
      <c r="D28" s="450">
        <f t="shared" si="3"/>
        <v>0</v>
      </c>
    </row>
    <row r="29">
      <c r="A29" s="442" t="s">
        <v>1022</v>
      </c>
      <c r="B29" s="448" t="s">
        <v>1366</v>
      </c>
      <c r="C29" s="451"/>
      <c r="D29" s="450">
        <f t="shared" si="3"/>
        <v>0</v>
      </c>
    </row>
    <row r="30">
      <c r="A30" s="442" t="s">
        <v>1019</v>
      </c>
      <c r="B30" s="448" t="s">
        <v>1367</v>
      </c>
      <c r="C30" s="451"/>
      <c r="D30" s="450">
        <f t="shared" si="3"/>
        <v>0</v>
      </c>
    </row>
    <row r="31">
      <c r="A31" s="442" t="s">
        <v>1016</v>
      </c>
      <c r="B31" s="448" t="s">
        <v>1368</v>
      </c>
      <c r="C31" s="443" t="s">
        <v>1325</v>
      </c>
      <c r="D31" s="450">
        <f t="shared" si="3"/>
        <v>5</v>
      </c>
    </row>
    <row r="32">
      <c r="A32" s="442" t="s">
        <v>1013</v>
      </c>
      <c r="B32" s="448" t="s">
        <v>1369</v>
      </c>
      <c r="C32" s="451"/>
      <c r="D32" s="450">
        <f t="shared" si="3"/>
        <v>0</v>
      </c>
    </row>
    <row r="33">
      <c r="A33" s="442" t="s">
        <v>1009</v>
      </c>
      <c r="B33" s="448" t="s">
        <v>1370</v>
      </c>
      <c r="C33" s="451"/>
      <c r="D33" s="450">
        <f t="shared" si="3"/>
        <v>0</v>
      </c>
    </row>
    <row r="34">
      <c r="A34" s="442" t="s">
        <v>1005</v>
      </c>
      <c r="B34" s="448" t="s">
        <v>1371</v>
      </c>
      <c r="C34" s="451"/>
      <c r="D34" s="450">
        <f t="shared" si="3"/>
        <v>0</v>
      </c>
    </row>
    <row r="35">
      <c r="A35" s="442" t="s">
        <v>1001</v>
      </c>
      <c r="B35" s="448" t="s">
        <v>1372</v>
      </c>
      <c r="C35" s="451"/>
      <c r="D35" s="450">
        <f t="shared" si="3"/>
        <v>0</v>
      </c>
    </row>
    <row r="36">
      <c r="A36" s="442" t="s">
        <v>998</v>
      </c>
      <c r="B36" s="448" t="s">
        <v>1373</v>
      </c>
      <c r="C36" s="451"/>
      <c r="D36" s="450">
        <f t="shared" si="3"/>
        <v>0</v>
      </c>
    </row>
    <row r="37">
      <c r="A37" s="442" t="s">
        <v>1374</v>
      </c>
      <c r="B37" s="448" t="s">
        <v>1375</v>
      </c>
      <c r="C37" s="451"/>
      <c r="D37" s="450">
        <f t="shared" si="3"/>
        <v>0</v>
      </c>
    </row>
    <row r="38">
      <c r="A38" s="442" t="s">
        <v>994</v>
      </c>
      <c r="B38" s="448" t="s">
        <v>1376</v>
      </c>
      <c r="C38" s="451"/>
      <c r="D38" s="450">
        <f t="shared" si="3"/>
        <v>0</v>
      </c>
    </row>
    <row r="39">
      <c r="A39" s="454" t="s">
        <v>1377</v>
      </c>
      <c r="B39" s="6"/>
      <c r="C39" s="7"/>
      <c r="D39" s="453"/>
    </row>
    <row r="40">
      <c r="A40" s="442" t="s">
        <v>1378</v>
      </c>
      <c r="B40" s="448" t="s">
        <v>1379</v>
      </c>
      <c r="C40" s="451"/>
      <c r="D40" s="450">
        <f t="shared" ref="D40:D43" si="4">IF(C40="",0,5)</f>
        <v>0</v>
      </c>
    </row>
    <row r="41">
      <c r="A41" s="442" t="s">
        <v>1380</v>
      </c>
      <c r="B41" s="448" t="s">
        <v>1381</v>
      </c>
      <c r="C41" s="451"/>
      <c r="D41" s="450">
        <f t="shared" si="4"/>
        <v>0</v>
      </c>
    </row>
    <row r="42">
      <c r="A42" s="442" t="s">
        <v>1382</v>
      </c>
      <c r="B42" s="448" t="s">
        <v>1383</v>
      </c>
      <c r="C42" s="451"/>
      <c r="D42" s="450">
        <f t="shared" si="4"/>
        <v>0</v>
      </c>
    </row>
    <row r="43">
      <c r="A43" s="442" t="s">
        <v>1384</v>
      </c>
      <c r="B43" s="448" t="s">
        <v>1385</v>
      </c>
      <c r="C43" s="451"/>
      <c r="D43" s="450">
        <f t="shared" si="4"/>
        <v>0</v>
      </c>
    </row>
    <row r="44">
      <c r="A44" s="452" t="s">
        <v>1386</v>
      </c>
      <c r="B44" s="6"/>
      <c r="C44" s="7"/>
      <c r="D44" s="453"/>
    </row>
    <row r="45">
      <c r="A45" s="442" t="s">
        <v>1387</v>
      </c>
      <c r="B45" s="448" t="s">
        <v>1388</v>
      </c>
      <c r="C45" s="451"/>
      <c r="D45" s="450">
        <f t="shared" ref="D45:D72" si="5">IF(C45="",0,5)</f>
        <v>0</v>
      </c>
    </row>
    <row r="46">
      <c r="A46" s="442" t="s">
        <v>1389</v>
      </c>
      <c r="B46" s="448" t="s">
        <v>1390</v>
      </c>
      <c r="C46" s="451"/>
      <c r="D46" s="450">
        <f t="shared" si="5"/>
        <v>0</v>
      </c>
    </row>
    <row r="47">
      <c r="A47" s="442" t="s">
        <v>1391</v>
      </c>
      <c r="B47" s="448" t="s">
        <v>1392</v>
      </c>
      <c r="C47" s="451"/>
      <c r="D47" s="450">
        <f t="shared" si="5"/>
        <v>0</v>
      </c>
    </row>
    <row r="48">
      <c r="A48" s="442" t="s">
        <v>1393</v>
      </c>
      <c r="B48" s="448" t="s">
        <v>1394</v>
      </c>
      <c r="C48" s="451"/>
      <c r="D48" s="450">
        <f t="shared" si="5"/>
        <v>0</v>
      </c>
    </row>
    <row r="49">
      <c r="A49" s="442" t="s">
        <v>1395</v>
      </c>
      <c r="B49" s="448" t="s">
        <v>1396</v>
      </c>
      <c r="C49" s="451"/>
      <c r="D49" s="450">
        <f t="shared" si="5"/>
        <v>0</v>
      </c>
    </row>
    <row r="50">
      <c r="A50" s="442" t="s">
        <v>1397</v>
      </c>
      <c r="B50" s="448" t="s">
        <v>1398</v>
      </c>
      <c r="C50" s="451"/>
      <c r="D50" s="450">
        <f t="shared" si="5"/>
        <v>0</v>
      </c>
    </row>
    <row r="51">
      <c r="A51" s="442" t="s">
        <v>1399</v>
      </c>
      <c r="B51" s="448" t="s">
        <v>1400</v>
      </c>
      <c r="C51" s="451"/>
      <c r="D51" s="450">
        <f t="shared" si="5"/>
        <v>0</v>
      </c>
    </row>
    <row r="52">
      <c r="A52" s="442" t="s">
        <v>1401</v>
      </c>
      <c r="B52" s="448" t="s">
        <v>1402</v>
      </c>
      <c r="C52" s="451"/>
      <c r="D52" s="450">
        <f t="shared" si="5"/>
        <v>0</v>
      </c>
    </row>
    <row r="53">
      <c r="A53" s="442" t="s">
        <v>1403</v>
      </c>
      <c r="B53" s="170"/>
      <c r="C53" s="451"/>
      <c r="D53" s="450">
        <f t="shared" si="5"/>
        <v>0</v>
      </c>
    </row>
    <row r="54">
      <c r="A54" s="442" t="s">
        <v>1404</v>
      </c>
      <c r="B54" s="170"/>
      <c r="C54" s="451"/>
      <c r="D54" s="450">
        <f t="shared" si="5"/>
        <v>0</v>
      </c>
    </row>
    <row r="55">
      <c r="A55" s="442" t="s">
        <v>1405</v>
      </c>
      <c r="B55" s="170"/>
      <c r="C55" s="451"/>
      <c r="D55" s="450">
        <f t="shared" si="5"/>
        <v>0</v>
      </c>
    </row>
    <row r="56">
      <c r="A56" s="442" t="s">
        <v>1406</v>
      </c>
      <c r="B56" s="170"/>
      <c r="C56" s="451"/>
      <c r="D56" s="450">
        <f t="shared" si="5"/>
        <v>0</v>
      </c>
    </row>
    <row r="57">
      <c r="A57" s="442" t="s">
        <v>1407</v>
      </c>
      <c r="B57" s="170"/>
      <c r="C57" s="451"/>
      <c r="D57" s="450">
        <f t="shared" si="5"/>
        <v>0</v>
      </c>
    </row>
    <row r="58">
      <c r="A58" s="442" t="s">
        <v>1408</v>
      </c>
      <c r="B58" s="170"/>
      <c r="C58" s="451"/>
      <c r="D58" s="450">
        <f t="shared" si="5"/>
        <v>0</v>
      </c>
    </row>
    <row r="59">
      <c r="A59" s="442" t="s">
        <v>1409</v>
      </c>
      <c r="B59" s="170"/>
      <c r="C59" s="451"/>
      <c r="D59" s="450">
        <f t="shared" si="5"/>
        <v>0</v>
      </c>
    </row>
    <row r="60">
      <c r="A60" s="442" t="s">
        <v>1410</v>
      </c>
      <c r="B60" s="170"/>
      <c r="C60" s="451"/>
      <c r="D60" s="450">
        <f t="shared" si="5"/>
        <v>0</v>
      </c>
    </row>
    <row r="61">
      <c r="A61" s="442" t="s">
        <v>1411</v>
      </c>
      <c r="B61" s="170"/>
      <c r="C61" s="451"/>
      <c r="D61" s="450">
        <f t="shared" si="5"/>
        <v>0</v>
      </c>
    </row>
    <row r="62">
      <c r="A62" s="442" t="s">
        <v>1412</v>
      </c>
      <c r="B62" s="170"/>
      <c r="C62" s="451"/>
      <c r="D62" s="450">
        <f t="shared" si="5"/>
        <v>0</v>
      </c>
    </row>
    <row r="63">
      <c r="A63" s="442" t="s">
        <v>1413</v>
      </c>
      <c r="B63" s="170"/>
      <c r="C63" s="451"/>
      <c r="D63" s="450">
        <f t="shared" si="5"/>
        <v>0</v>
      </c>
    </row>
    <row r="64">
      <c r="A64" s="442" t="s">
        <v>1414</v>
      </c>
      <c r="B64" s="170"/>
      <c r="C64" s="451"/>
      <c r="D64" s="450">
        <f t="shared" si="5"/>
        <v>0</v>
      </c>
    </row>
    <row r="65">
      <c r="A65" s="442" t="s">
        <v>1415</v>
      </c>
      <c r="B65" s="170"/>
      <c r="C65" s="451"/>
      <c r="D65" s="450">
        <f t="shared" si="5"/>
        <v>0</v>
      </c>
    </row>
    <row r="66">
      <c r="A66" s="442" t="s">
        <v>1416</v>
      </c>
      <c r="B66" s="170"/>
      <c r="C66" s="451"/>
      <c r="D66" s="450">
        <f t="shared" si="5"/>
        <v>0</v>
      </c>
    </row>
    <row r="67">
      <c r="A67" s="442" t="s">
        <v>1417</v>
      </c>
      <c r="B67" s="170"/>
      <c r="C67" s="451"/>
      <c r="D67" s="450">
        <f t="shared" si="5"/>
        <v>0</v>
      </c>
    </row>
    <row r="68">
      <c r="A68" s="442" t="s">
        <v>1418</v>
      </c>
      <c r="B68" s="170"/>
      <c r="C68" s="451"/>
      <c r="D68" s="450">
        <f t="shared" si="5"/>
        <v>0</v>
      </c>
    </row>
    <row r="69">
      <c r="A69" s="442" t="s">
        <v>1419</v>
      </c>
      <c r="B69" s="170"/>
      <c r="C69" s="451"/>
      <c r="D69" s="450">
        <f t="shared" si="5"/>
        <v>0</v>
      </c>
    </row>
    <row r="70">
      <c r="A70" s="442" t="s">
        <v>1420</v>
      </c>
      <c r="B70" s="170"/>
      <c r="C70" s="451"/>
      <c r="D70" s="450">
        <f t="shared" si="5"/>
        <v>0</v>
      </c>
    </row>
    <row r="71">
      <c r="A71" s="442" t="s">
        <v>1421</v>
      </c>
      <c r="B71" s="170"/>
      <c r="C71" s="451"/>
      <c r="D71" s="450">
        <f t="shared" si="5"/>
        <v>0</v>
      </c>
    </row>
    <row r="72">
      <c r="A72" s="442" t="s">
        <v>1422</v>
      </c>
      <c r="B72" s="170"/>
      <c r="C72" s="451"/>
      <c r="D72" s="450">
        <f t="shared" si="5"/>
        <v>0</v>
      </c>
    </row>
  </sheetData>
  <mergeCells count="6">
    <mergeCell ref="A2:B2"/>
    <mergeCell ref="A3:D4"/>
    <mergeCell ref="A15:C15"/>
    <mergeCell ref="A26:C26"/>
    <mergeCell ref="A39:C39"/>
    <mergeCell ref="A44:C4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75.0"/>
    <col customWidth="1" min="2" max="2" width="44.5"/>
    <col customWidth="1" min="3" max="9" width="15.13"/>
    <col customWidth="1" min="10" max="10" width="24.25"/>
    <col customWidth="1" min="11" max="20" width="15.13"/>
  </cols>
  <sheetData>
    <row r="1">
      <c r="J1" s="75"/>
    </row>
    <row r="2">
      <c r="A2" s="455" t="s">
        <v>1423</v>
      </c>
      <c r="B2" s="455" t="s">
        <v>1424</v>
      </c>
      <c r="J2" s="75"/>
    </row>
    <row r="3">
      <c r="J3" s="75"/>
    </row>
    <row r="4">
      <c r="A4" s="55" t="s">
        <v>1425</v>
      </c>
      <c r="B4" s="55" t="s">
        <v>1426</v>
      </c>
      <c r="J4" s="75"/>
    </row>
    <row r="5">
      <c r="J5" s="75"/>
    </row>
    <row r="6">
      <c r="A6" s="455" t="s">
        <v>1427</v>
      </c>
      <c r="J6" s="456" t="s">
        <v>1428</v>
      </c>
    </row>
    <row r="7">
      <c r="J7" s="75"/>
    </row>
    <row r="8">
      <c r="A8" s="55" t="s">
        <v>1429</v>
      </c>
      <c r="B8" s="457"/>
      <c r="C8" s="457"/>
      <c r="D8" s="457"/>
      <c r="E8" s="457"/>
      <c r="F8" s="457"/>
      <c r="G8" s="457"/>
      <c r="H8" s="457"/>
      <c r="I8" s="457"/>
      <c r="J8" s="458" t="s">
        <v>1430</v>
      </c>
    </row>
    <row r="9">
      <c r="J9" s="75"/>
    </row>
    <row r="10">
      <c r="A10" s="455" t="s">
        <v>1431</v>
      </c>
      <c r="J10" s="456" t="s">
        <v>1432</v>
      </c>
    </row>
    <row r="11">
      <c r="J11" s="75"/>
    </row>
    <row r="12">
      <c r="A12" s="55" t="s">
        <v>1429</v>
      </c>
      <c r="B12" s="457"/>
      <c r="C12" s="457"/>
      <c r="D12" s="457"/>
      <c r="E12" s="457"/>
      <c r="F12" s="457"/>
      <c r="G12" s="457"/>
      <c r="H12" s="457"/>
      <c r="I12" s="457"/>
      <c r="J12" s="458" t="s">
        <v>1430</v>
      </c>
    </row>
    <row r="13">
      <c r="J13" s="75"/>
    </row>
    <row r="14">
      <c r="A14" s="455" t="s">
        <v>1433</v>
      </c>
      <c r="J14" s="456" t="s">
        <v>1434</v>
      </c>
    </row>
    <row r="15">
      <c r="J15" s="75"/>
    </row>
    <row r="16">
      <c r="A16" s="55" t="s">
        <v>1429</v>
      </c>
      <c r="B16" s="457"/>
      <c r="C16" s="457"/>
      <c r="D16" s="457"/>
      <c r="E16" s="457"/>
      <c r="F16" s="457"/>
      <c r="G16" s="457"/>
      <c r="H16" s="457"/>
      <c r="I16" s="457"/>
      <c r="J16" s="458" t="s">
        <v>1430</v>
      </c>
    </row>
    <row r="17">
      <c r="J17" s="75"/>
    </row>
    <row r="18">
      <c r="A18" s="459" t="s">
        <v>1435</v>
      </c>
      <c r="B18" s="88" t="s">
        <v>1436</v>
      </c>
      <c r="J18" s="75"/>
    </row>
    <row r="19">
      <c r="A19" s="101"/>
      <c r="B19" s="101"/>
      <c r="J19" s="75"/>
    </row>
    <row r="20">
      <c r="A20" s="101"/>
      <c r="B20" s="101"/>
      <c r="J20" s="75"/>
    </row>
    <row r="21">
      <c r="A21" s="460" t="s">
        <v>1437</v>
      </c>
      <c r="B21" s="88" t="s">
        <v>1438</v>
      </c>
      <c r="J21" s="75"/>
    </row>
    <row r="22">
      <c r="J22" s="75"/>
    </row>
    <row r="23">
      <c r="J23" s="75"/>
    </row>
    <row r="24">
      <c r="J24" s="75"/>
    </row>
    <row r="25">
      <c r="J25" s="75"/>
    </row>
    <row r="26">
      <c r="J26" s="75"/>
    </row>
    <row r="27">
      <c r="J27" s="75"/>
    </row>
    <row r="28">
      <c r="A28" s="2" t="s">
        <v>1439</v>
      </c>
      <c r="B28" s="2" t="s">
        <v>1440</v>
      </c>
      <c r="J28" s="75"/>
    </row>
    <row r="29">
      <c r="J29" s="75"/>
    </row>
    <row r="30">
      <c r="A30" s="2" t="s">
        <v>1441</v>
      </c>
      <c r="B30" s="2" t="s">
        <v>1442</v>
      </c>
      <c r="J30" s="75"/>
    </row>
    <row r="31">
      <c r="J31" s="75"/>
    </row>
    <row r="32">
      <c r="A32" s="2" t="s">
        <v>1443</v>
      </c>
      <c r="B32" s="2" t="s">
        <v>1444</v>
      </c>
      <c r="J32" s="75"/>
    </row>
    <row r="33">
      <c r="J33" s="75"/>
    </row>
    <row r="34">
      <c r="A34" s="2" t="s">
        <v>1445</v>
      </c>
      <c r="B34" s="2" t="s">
        <v>1446</v>
      </c>
      <c r="J34" s="75"/>
    </row>
    <row r="35">
      <c r="J35" s="75"/>
    </row>
    <row r="36">
      <c r="J36" s="75"/>
    </row>
    <row r="37">
      <c r="J37" s="75"/>
    </row>
    <row r="38">
      <c r="A38" s="2" t="s">
        <v>1447</v>
      </c>
      <c r="J38" s="75"/>
    </row>
    <row r="39">
      <c r="J39" s="75"/>
    </row>
    <row r="40">
      <c r="A40" s="2" t="s">
        <v>1448</v>
      </c>
      <c r="J40" s="75"/>
    </row>
    <row r="41">
      <c r="J41" s="75"/>
    </row>
    <row r="42">
      <c r="J42" s="75"/>
    </row>
    <row r="43">
      <c r="J43" s="75"/>
    </row>
    <row r="44">
      <c r="J44" s="75"/>
    </row>
    <row r="45">
      <c r="J45" s="75"/>
    </row>
    <row r="46">
      <c r="J46" s="75"/>
    </row>
    <row r="47">
      <c r="J47" s="75"/>
    </row>
    <row r="48">
      <c r="J48" s="75"/>
    </row>
    <row r="49">
      <c r="J49" s="75"/>
    </row>
    <row r="50">
      <c r="J50" s="75"/>
    </row>
    <row r="51">
      <c r="J51" s="75"/>
    </row>
    <row r="52">
      <c r="J52" s="75"/>
    </row>
    <row r="53">
      <c r="J53" s="75"/>
    </row>
    <row r="54">
      <c r="J54" s="75"/>
    </row>
    <row r="55">
      <c r="J55" s="75"/>
    </row>
    <row r="56">
      <c r="J56" s="75"/>
    </row>
    <row r="57">
      <c r="J57" s="75"/>
    </row>
    <row r="58">
      <c r="J58" s="75"/>
    </row>
    <row r="59">
      <c r="J59" s="75"/>
    </row>
    <row r="60">
      <c r="J60" s="75"/>
    </row>
    <row r="61">
      <c r="J61" s="75"/>
    </row>
    <row r="62">
      <c r="J62" s="75"/>
    </row>
    <row r="63">
      <c r="J63" s="75"/>
    </row>
    <row r="64">
      <c r="J64" s="75"/>
    </row>
    <row r="65">
      <c r="J65" s="75"/>
    </row>
    <row r="66">
      <c r="J66" s="75"/>
    </row>
    <row r="67">
      <c r="J67" s="75"/>
    </row>
    <row r="68">
      <c r="J68" s="75"/>
    </row>
    <row r="69">
      <c r="J69" s="75"/>
    </row>
    <row r="70">
      <c r="J70" s="75"/>
    </row>
    <row r="71">
      <c r="J71" s="75"/>
    </row>
    <row r="72">
      <c r="J72" s="75"/>
    </row>
    <row r="73">
      <c r="J73" s="75"/>
    </row>
    <row r="74">
      <c r="J74" s="75"/>
    </row>
    <row r="75">
      <c r="J75" s="75"/>
    </row>
    <row r="76">
      <c r="J76" s="75"/>
    </row>
    <row r="77">
      <c r="J77" s="75"/>
    </row>
    <row r="78">
      <c r="J78" s="75"/>
    </row>
    <row r="79">
      <c r="J79" s="75"/>
    </row>
    <row r="80">
      <c r="J80" s="75"/>
    </row>
    <row r="81">
      <c r="J81" s="75"/>
    </row>
    <row r="82">
      <c r="J82" s="75"/>
    </row>
    <row r="83">
      <c r="J83" s="75"/>
    </row>
    <row r="84">
      <c r="J84" s="75"/>
    </row>
    <row r="85">
      <c r="J85" s="75"/>
    </row>
    <row r="86">
      <c r="J86" s="75"/>
    </row>
    <row r="87">
      <c r="J87" s="75"/>
    </row>
    <row r="88">
      <c r="J88" s="75"/>
    </row>
    <row r="89">
      <c r="J89" s="75"/>
    </row>
    <row r="90">
      <c r="J90" s="75"/>
    </row>
    <row r="91">
      <c r="J91" s="75"/>
    </row>
    <row r="92">
      <c r="J92" s="75"/>
    </row>
    <row r="93">
      <c r="J93" s="75"/>
    </row>
  </sheetData>
  <mergeCells count="3">
    <mergeCell ref="A6:I6"/>
    <mergeCell ref="A10:I10"/>
    <mergeCell ref="A14:I1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5.13"/>
    <col customWidth="1" min="3" max="3" width="36.13"/>
    <col customWidth="1" min="4" max="21" width="15.13"/>
  </cols>
  <sheetData>
    <row r="2">
      <c r="A2" s="461" t="s">
        <v>1449</v>
      </c>
    </row>
    <row r="3">
      <c r="A3" s="4"/>
      <c r="B3" s="4"/>
      <c r="C3" s="4"/>
      <c r="D3" s="4"/>
      <c r="E3" s="4"/>
    </row>
    <row r="4">
      <c r="A4" s="418" t="s">
        <v>1450</v>
      </c>
      <c r="B4" s="418" t="s">
        <v>1451</v>
      </c>
      <c r="C4" s="418" t="s">
        <v>1452</v>
      </c>
      <c r="D4" s="418" t="s">
        <v>1453</v>
      </c>
      <c r="E4" s="462"/>
    </row>
    <row r="5">
      <c r="A5" s="403">
        <v>1.0</v>
      </c>
      <c r="B5" s="403" t="s">
        <v>1454</v>
      </c>
      <c r="C5" s="403" t="s">
        <v>1455</v>
      </c>
      <c r="D5" s="403" t="s">
        <v>1456</v>
      </c>
      <c r="E5" s="48"/>
    </row>
    <row r="6">
      <c r="A6" s="403">
        <v>2.0</v>
      </c>
      <c r="B6" s="403">
        <v>4.0</v>
      </c>
      <c r="C6" s="403" t="s">
        <v>1457</v>
      </c>
      <c r="D6" s="403" t="s">
        <v>1458</v>
      </c>
      <c r="E6" s="48"/>
    </row>
    <row r="7">
      <c r="A7" s="403">
        <v>3.0</v>
      </c>
      <c r="B7" s="403" t="s">
        <v>1454</v>
      </c>
      <c r="C7" s="403" t="s">
        <v>1459</v>
      </c>
      <c r="D7" s="403" t="s">
        <v>1460</v>
      </c>
      <c r="E7" s="48"/>
    </row>
    <row r="8">
      <c r="A8" s="403">
        <v>4.0</v>
      </c>
      <c r="B8" s="403" t="s">
        <v>1454</v>
      </c>
      <c r="C8" s="403" t="s">
        <v>1461</v>
      </c>
      <c r="D8" s="403" t="s">
        <v>1462</v>
      </c>
      <c r="E8" s="48"/>
    </row>
    <row r="9">
      <c r="A9" s="403">
        <v>5.0</v>
      </c>
      <c r="B9" s="403" t="s">
        <v>1454</v>
      </c>
      <c r="C9" s="403" t="s">
        <v>1463</v>
      </c>
      <c r="D9" s="403" t="s">
        <v>1464</v>
      </c>
      <c r="E9" s="48"/>
    </row>
    <row r="10">
      <c r="A10" s="403">
        <v>6.0</v>
      </c>
      <c r="B10" s="403" t="s">
        <v>1454</v>
      </c>
      <c r="C10" s="403" t="s">
        <v>1465</v>
      </c>
      <c r="D10" s="403">
        <v>4.6982605E8</v>
      </c>
      <c r="E10" s="48"/>
    </row>
    <row r="11">
      <c r="A11" s="403">
        <v>7.0</v>
      </c>
      <c r="B11" s="403" t="s">
        <v>1454</v>
      </c>
      <c r="C11" s="403" t="s">
        <v>1466</v>
      </c>
      <c r="D11" s="403">
        <v>3.32849043E8</v>
      </c>
      <c r="E11" s="48"/>
    </row>
    <row r="12">
      <c r="A12" s="403">
        <v>8.0</v>
      </c>
      <c r="B12" s="403" t="s">
        <v>1454</v>
      </c>
      <c r="C12" s="403" t="s">
        <v>1467</v>
      </c>
      <c r="D12" s="403" t="s">
        <v>1468</v>
      </c>
      <c r="E12" s="48"/>
    </row>
    <row r="13">
      <c r="A13" s="403">
        <v>9.0</v>
      </c>
      <c r="B13" s="403" t="s">
        <v>1454</v>
      </c>
      <c r="C13" s="403" t="s">
        <v>1469</v>
      </c>
      <c r="D13" s="403">
        <v>17.0</v>
      </c>
      <c r="E13" s="48"/>
    </row>
    <row r="14">
      <c r="A14" s="54"/>
      <c r="B14" s="54"/>
      <c r="C14" s="54"/>
      <c r="D14" s="54"/>
    </row>
    <row r="17">
      <c r="A17" s="463" t="s">
        <v>1470</v>
      </c>
    </row>
    <row r="18">
      <c r="A18" s="4"/>
      <c r="B18" s="4"/>
      <c r="C18" s="4"/>
      <c r="D18" s="4"/>
    </row>
    <row r="19">
      <c r="A19" s="418" t="s">
        <v>1450</v>
      </c>
      <c r="B19" s="418" t="s">
        <v>1451</v>
      </c>
      <c r="C19" s="418" t="s">
        <v>1452</v>
      </c>
      <c r="D19" s="418" t="s">
        <v>1453</v>
      </c>
      <c r="E19" s="48"/>
    </row>
    <row r="20">
      <c r="A20" s="403">
        <v>1.0</v>
      </c>
      <c r="B20" s="403">
        <v>1.0</v>
      </c>
      <c r="C20" s="403" t="s">
        <v>1471</v>
      </c>
      <c r="D20" s="403" t="s">
        <v>1472</v>
      </c>
      <c r="E20" s="48"/>
    </row>
    <row r="21">
      <c r="A21" s="403">
        <v>2.0</v>
      </c>
      <c r="B21" s="403">
        <v>1.0</v>
      </c>
      <c r="C21" s="403" t="s">
        <v>1473</v>
      </c>
      <c r="D21" s="403" t="s">
        <v>1474</v>
      </c>
      <c r="E21" s="48"/>
    </row>
    <row r="22">
      <c r="A22" s="403">
        <v>3.0</v>
      </c>
      <c r="B22" s="403" t="s">
        <v>1454</v>
      </c>
      <c r="C22" s="403" t="s">
        <v>1475</v>
      </c>
      <c r="D22" s="403" t="s">
        <v>1476</v>
      </c>
      <c r="E22" s="48"/>
    </row>
    <row r="23">
      <c r="A23" s="403">
        <v>4.0</v>
      </c>
      <c r="B23" s="403">
        <v>4.0</v>
      </c>
      <c r="C23" s="403" t="s">
        <v>1457</v>
      </c>
      <c r="D23" s="403" t="s">
        <v>1477</v>
      </c>
      <c r="E23" s="48"/>
    </row>
    <row r="24">
      <c r="A24" s="403">
        <v>5.0</v>
      </c>
      <c r="B24" s="403">
        <v>4.0</v>
      </c>
      <c r="C24" s="403" t="s">
        <v>1459</v>
      </c>
      <c r="D24" s="403" t="s">
        <v>1478</v>
      </c>
      <c r="E24" s="48"/>
    </row>
    <row r="25">
      <c r="A25" s="403">
        <v>6.0</v>
      </c>
      <c r="B25" s="403">
        <v>4.0</v>
      </c>
      <c r="C25" s="403" t="s">
        <v>1461</v>
      </c>
      <c r="D25" s="403" t="s">
        <v>1479</v>
      </c>
      <c r="E25" s="48"/>
    </row>
    <row r="26">
      <c r="A26" s="403">
        <v>7.0</v>
      </c>
      <c r="B26" s="403">
        <v>1.0</v>
      </c>
      <c r="C26" s="403" t="s">
        <v>1480</v>
      </c>
      <c r="D26" s="403" t="s">
        <v>1481</v>
      </c>
      <c r="E26" s="48"/>
    </row>
    <row r="27">
      <c r="A27" s="403">
        <v>8.0</v>
      </c>
      <c r="B27" s="403">
        <v>1.0</v>
      </c>
      <c r="C27" s="403" t="s">
        <v>1482</v>
      </c>
      <c r="D27" s="403" t="s">
        <v>1483</v>
      </c>
      <c r="E27" s="48"/>
    </row>
    <row r="28">
      <c r="A28" s="403">
        <v>9.0</v>
      </c>
      <c r="B28" s="403">
        <v>2.0</v>
      </c>
      <c r="C28" s="403" t="s">
        <v>1484</v>
      </c>
      <c r="D28" s="403" t="s">
        <v>1485</v>
      </c>
      <c r="E28" s="48"/>
    </row>
    <row r="29">
      <c r="A29" s="403">
        <v>10.0</v>
      </c>
      <c r="B29" s="403">
        <v>2.0</v>
      </c>
      <c r="C29" s="403" t="s">
        <v>1486</v>
      </c>
      <c r="D29" s="403" t="s">
        <v>1487</v>
      </c>
      <c r="E29" s="48"/>
    </row>
    <row r="30">
      <c r="A30" s="403">
        <v>11.0</v>
      </c>
      <c r="B30" s="403">
        <v>1.0</v>
      </c>
      <c r="C30" s="403" t="s">
        <v>1488</v>
      </c>
      <c r="D30" s="403" t="s">
        <v>1489</v>
      </c>
      <c r="E30" s="48"/>
    </row>
    <row r="31">
      <c r="A31" s="403">
        <v>12.0</v>
      </c>
      <c r="B31" s="403">
        <v>1.0</v>
      </c>
      <c r="C31" s="403" t="s">
        <v>1490</v>
      </c>
      <c r="D31" s="403" t="s">
        <v>1491</v>
      </c>
      <c r="E31" s="48"/>
    </row>
    <row r="32">
      <c r="A32" s="54"/>
      <c r="B32" s="54"/>
      <c r="C32" s="54"/>
      <c r="D32" s="54"/>
    </row>
    <row r="33">
      <c r="A33" s="464" t="s">
        <v>1492</v>
      </c>
      <c r="B33" s="465" t="s">
        <v>1493</v>
      </c>
    </row>
  </sheetData>
  <mergeCells count="3">
    <mergeCell ref="A2:D2"/>
    <mergeCell ref="A17:D17"/>
    <mergeCell ref="B33:D33"/>
  </mergeCells>
  <hyperlinks>
    <hyperlink r:id="rId1" ref="A2"/>
  </hyperlinks>
  <drawing r:id="rId2"/>
</worksheet>
</file>